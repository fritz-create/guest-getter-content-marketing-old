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 Pillars" sheetId="1" r:id="rId5"/>
    <sheet state="visible" name="Topical Map (IN PROGRESS)" sheetId="2" r:id="rId6"/>
    <sheet state="visible" name="Blog KW Opportunities" sheetId="3" r:id="rId7"/>
    <sheet state="visible" name="Blog Tracker (FOR APPROVAL)" sheetId="4" r:id="rId8"/>
    <sheet state="hidden" name="KEYWORDS OPPORTUNITIES"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TOTAL ADDRESSABLE MARKET</t>
      </text>
    </comment>
    <comment authorId="0" ref="C2">
      <text>
        <t xml:space="preserve">SHARE OF MARKET OR 30% of the TAM</t>
      </text>
    </comment>
    <comment authorId="0" ref="D2">
      <text>
        <t xml:space="preserve">The position an analyzed domain gets in organic search results and SERP features for a listed keyword.
</t>
      </text>
    </comment>
    <comment authorId="0" ref="E2">
      <text>
        <t xml:space="preserve">The average number of times users have searched for a given keyword per month. We calculate this value over the last 12 months.</t>
      </text>
    </comment>
    <comment authorId="0" ref="F2">
      <text>
        <t xml:space="preserve">The purpose of a search in a search engine. Intents can be read by the search engine algorithms to show the proper results and SERP features.</t>
      </text>
    </comment>
    <comment authorId="0" ref="G2">
      <text>
        <t xml:space="preserve">The average number of times users have searched for a given keyword per month. We calculate this value over the last 12 months.</t>
      </text>
    </comment>
    <comment authorId="0" ref="H2">
      <text>
        <t xml:space="preserve">An estimate of how difficult it would be to rank well in organic search results for a particular keyword. The higher the percentage, the harder it is to achieve high rankings for the given keyword.</t>
      </text>
    </comment>
    <comment authorId="0" ref="I2">
      <text>
        <t xml:space="preserve">Average price in USD advertisers pay for a user’s click on an ad triggered by a listed keyword (Google Ads). Use sort icon to display results in ascending or descending order.</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The average number of monthly searches for a keyword over the past 12 months.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TOTAL ADDRESSABLE MARKET</t>
      </text>
    </comment>
  </commentList>
</comments>
</file>

<file path=xl/sharedStrings.xml><?xml version="1.0" encoding="utf-8"?>
<sst xmlns="http://schemas.openxmlformats.org/spreadsheetml/2006/main" count="134" uniqueCount="100">
  <si>
    <t>Content Pillar</t>
  </si>
  <si>
    <t>Customer Question Answered</t>
  </si>
  <si>
    <t>What This Covers</t>
  </si>
  <si>
    <t>What It Does NOT Cover</t>
  </si>
  <si>
    <t>NOTES</t>
  </si>
  <si>
    <t>PUB FOOD FUNDAMENTALS</t>
  </si>
  <si>
    <t>What kind of food is this?</t>
  </si>
  <si>
    <t>What defines pub food, comfort food norms, portion expectations, shareable vs plated dishes, high-level preparation style</t>
  </si>
  <si>
    <t>Location references, rankings, opinions, menu decisions, events, patio, timing, brand storytelling</t>
  </si>
  <si>
    <t>Educational only. No city names. Exists to define cuisine boundaries for Google and AI.</t>
  </si>
  <si>
    <t>CHOICE &amp; MENU DECISIONS</t>
  </si>
  <si>
    <t>Which option should I choose?</t>
  </si>
  <si>
    <t>Side-by-side menu decisions, portion guidance, shareables vs mains, light context like hearty vs lighter</t>
  </si>
  <si>
    <t>Cooking techniques, sourcing, timing, events, location, atmosphere, trust claims</t>
  </si>
  <si>
    <t>Decision support only. Must reduce ordering friction. Easy to repurpose for GBP posts.</t>
  </si>
  <si>
    <t>OCCASION &amp; PUB EXPERIENCE</t>
  </si>
  <si>
    <t>When does this place fit?</t>
  </si>
  <si>
    <t>Casual dining, group gatherings, late-evening visits, social nights, seasonal patio context, events as experiences, family-comfortable dining</t>
  </si>
  <si>
    <t>Food mechanics, menu comparisons, neighborhoods, proximity, directions</t>
  </si>
  <si>
    <t>Primary pillar for Malt &amp; Barley. High behavioral and GBP value.</t>
  </si>
  <si>
    <t>LOCAL PUB DISCOVERY</t>
  </si>
  <si>
    <t>Where can I find a place like this?</t>
  </si>
  <si>
    <t>Kitchener context, nearby areas, how people discover local pubs, proximity language, “looking for a pub” framing</t>
  </si>
  <si>
    <t>Food education, menu advice, atmosphere storytelling, trust claims, rankings</t>
  </si>
  <si>
    <t>Supports GBP and Maps. Observational tone only. No “best pub” language.</t>
  </si>
  <si>
    <t>STANDARDS, ATMOSPHERE &amp; TRUST</t>
  </si>
  <si>
    <t>Why should I trust this place?</t>
  </si>
  <si>
    <t>Consistency, service expectations, atmosphere, bar reliability, accessibility, comfort and reassurance aligned with reviews</t>
  </si>
  <si>
    <t>Events, timing, menu advice, location marketing, competitor comparisons</t>
  </si>
  <si>
    <t>Feeds AI trust signals and reduces decision anxiety. Neutral, review-aligned language only.</t>
  </si>
  <si>
    <t>Notes</t>
  </si>
  <si>
    <t>This framework is designed to prevent overlap and ambiguity across Google Business Profile, local organic search, and AI-driven discovery. Each pillar answers one question only and reinforces one entity signal. Content must be extractable into GBP posts and consistent with real customer language (reviews), prioritizing clarity over promotion.</t>
  </si>
  <si>
    <t>Content Pillars</t>
  </si>
  <si>
    <t>Topics</t>
  </si>
  <si>
    <t>Blog Working Title #1</t>
  </si>
  <si>
    <t>Blog Working Title #2</t>
  </si>
  <si>
    <t>Blog Working Title #3</t>
  </si>
  <si>
    <t>Blog Working Title #4</t>
  </si>
  <si>
    <t>Blog Working Title #5</t>
  </si>
  <si>
    <t>Pub Food Basics</t>
  </si>
  <si>
    <t>Pub Burgers</t>
  </si>
  <si>
    <t>Fish &amp; Chips</t>
  </si>
  <si>
    <t>Fries, Poutine &amp; Sides</t>
  </si>
  <si>
    <t>Shareables &amp; Starters</t>
  </si>
  <si>
    <t>Choosing Mains</t>
  </si>
  <si>
    <t>Sides &amp; Add-Ons</t>
  </si>
  <si>
    <t>Shareables vs Entrées</t>
  </si>
  <si>
    <t>Takeout vs Dine-In</t>
  </si>
  <si>
    <t>Casual Dining</t>
  </si>
  <si>
    <t>Group Dining</t>
  </si>
  <si>
    <t>Late-Evening Dining</t>
  </si>
  <si>
    <t>Events &amp; Social Nights</t>
  </si>
  <si>
    <t>Patio Season (Seasonal)</t>
  </si>
  <si>
    <t>Finding a Local Pub</t>
  </si>
  <si>
    <t>Choosing a Pub Location</t>
  </si>
  <si>
    <t>Pub vs Other Dining Options</t>
  </si>
  <si>
    <t>Kitchen Consistency</t>
  </si>
  <si>
    <t>Service Expectations</t>
  </si>
  <si>
    <t>Atmosphere &amp; Comfort</t>
  </si>
  <si>
    <t>Accessibility &amp; Ease</t>
  </si>
  <si>
    <t>APPROVED TOPIC / THEME</t>
  </si>
  <si>
    <t>TAM</t>
  </si>
  <si>
    <t>SOM</t>
  </si>
  <si>
    <t>COMPETITION</t>
  </si>
  <si>
    <t>SEARCH QUERIES</t>
  </si>
  <si>
    <t>INTENT</t>
  </si>
  <si>
    <t>VOLUME</t>
  </si>
  <si>
    <t>KD%</t>
  </si>
  <si>
    <t>CPC</t>
  </si>
  <si>
    <t>How People Find Local Pubs in Kitchener</t>
  </si>
  <si>
    <t>kitchener pub​</t>
  </si>
  <si>
    <t>C</t>
  </si>
  <si>
    <t>pubs in kitchener​</t>
  </si>
  <si>
    <t>pubs kitchener​</t>
  </si>
  <si>
    <t>pubs in kitchener ontario​</t>
  </si>
  <si>
    <t>best pubs in kitchener​</t>
  </si>
  <si>
    <t>-</t>
  </si>
  <si>
    <t>irish pub kitchener​</t>
  </si>
  <si>
    <t>Irish pub kitchener menu</t>
  </si>
  <si>
    <t>PAA</t>
  </si>
  <si>
    <t>When a Pub Is the Right Choice for Casual Dining</t>
  </si>
  <si>
    <t>Casual dining pub</t>
  </si>
  <si>
    <t>PAA stands for "People Ask Questions" Feature in Organic Google Search</t>
  </si>
  <si>
    <t>Casual dining pub ontario downtown</t>
  </si>
  <si>
    <t>Casual pub kitchener downtown</t>
  </si>
  <si>
    <t>Casual pub kitchener menu</t>
  </si>
  <si>
    <t>Topic</t>
  </si>
  <si>
    <t>Blog Working Title</t>
  </si>
  <si>
    <t>Main KW</t>
  </si>
  <si>
    <t>Volume</t>
  </si>
  <si>
    <t>Status</t>
  </si>
  <si>
    <t>Content URL</t>
  </si>
  <si>
    <t>Published</t>
  </si>
  <si>
    <t xml:space="preserve">Malt &amp; Barley CM #1: </t>
  </si>
  <si>
    <t>In Progress</t>
  </si>
  <si>
    <t>CLIENT</t>
  </si>
  <si>
    <t>Supporting URL</t>
  </si>
  <si>
    <t>Next Target Services/Topics</t>
  </si>
  <si>
    <t>Covered Topics</t>
  </si>
  <si>
    <t>Target Services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</si>
</sst>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
    <numFmt numFmtId="165" formatCode="&quot;$&quot;#,##0.00"/>
  </numFmts>
  <fonts count="24">
    <font>
      <sz val="10.0"/>
      <color rgb="FF000000"/>
      <name val="Arial"/>
      <scheme val="minor"/>
    </font>
    <font>
      <sz val="15.0"/>
      <color rgb="FFFFFFFF"/>
      <name val="Arial"/>
    </font>
    <font>
      <sz val="15.0"/>
      <color rgb="FFFFFFFF"/>
      <name val="Arial"/>
      <scheme val="minor"/>
    </font>
    <font>
      <b/>
      <sz val="15.0"/>
      <color rgb="FFFFFFFF"/>
      <name val="Arial"/>
    </font>
    <font/>
    <font>
      <b/>
      <color rgb="FFFFFFFF"/>
      <name val="Arial"/>
      <scheme val="minor"/>
    </font>
    <font>
      <b/>
      <sz val="14.0"/>
      <color rgb="FFFFFFFF"/>
      <name val="Arial"/>
    </font>
    <font>
      <color theme="1"/>
      <name val="Arial"/>
      <scheme val="minor"/>
    </font>
    <font>
      <color theme="1"/>
      <name val="Arial"/>
    </font>
    <font>
      <b/>
      <color theme="1"/>
      <name val="Arial"/>
      <scheme val="minor"/>
    </font>
    <font>
      <u/>
      <sz val="10.0"/>
      <color rgb="FF000000"/>
    </font>
    <font>
      <b/>
      <color rgb="FFFFFFFF"/>
      <name val="Calibri"/>
    </font>
    <font>
      <b/>
      <sz val="9.0"/>
      <color rgb="FFFFFFFF"/>
      <name val="Arial"/>
    </font>
    <font>
      <color rgb="FFFFFFFF"/>
      <name val="Arial"/>
    </font>
    <font>
      <color rgb="FF073763"/>
      <name val="Arial"/>
    </font>
    <font>
      <sz val="9.0"/>
      <color theme="1"/>
      <name val="Arial"/>
    </font>
    <font>
      <u/>
      <sz val="10.0"/>
      <color rgb="FF000000"/>
      <name val="Arial"/>
      <scheme val="minor"/>
    </font>
    <font>
      <color rgb="FFFFFFFF"/>
      <name val="Arial"/>
      <scheme val="minor"/>
    </font>
    <font>
      <b/>
      <sz val="10.0"/>
      <color rgb="FFFFFFFF"/>
      <name val="Arial"/>
    </font>
    <font>
      <b/>
      <sz val="10.0"/>
      <color rgb="FFFFFFFF"/>
      <name val="Arial"/>
      <scheme val="minor"/>
    </font>
    <font>
      <sz val="11.0"/>
      <color theme="1"/>
      <name val="Arial"/>
    </font>
    <font>
      <sz val="10.0"/>
      <color theme="1"/>
      <name val="Arial"/>
      <scheme val="minor"/>
    </font>
    <font>
      <sz val="10.0"/>
      <color theme="1"/>
      <name val="Arial"/>
    </font>
    <font>
      <sz val="11.0"/>
      <color theme="1"/>
      <name val="Arial"/>
      <scheme val="minor"/>
    </font>
  </fonts>
  <fills count="7">
    <fill>
      <patternFill patternType="none"/>
    </fill>
    <fill>
      <patternFill patternType="lightGray"/>
    </fill>
    <fill>
      <patternFill patternType="solid">
        <fgColor rgb="FF000000"/>
        <bgColor rgb="FF000000"/>
      </patternFill>
    </fill>
    <fill>
      <patternFill patternType="solid">
        <fgColor rgb="FF666666"/>
        <bgColor rgb="FF666666"/>
      </patternFill>
    </fill>
    <fill>
      <patternFill patternType="solid">
        <fgColor rgb="FFEFEFEF"/>
        <bgColor rgb="FFEFEFEF"/>
      </patternFill>
    </fill>
    <fill>
      <patternFill patternType="solid">
        <fgColor rgb="FFF3F3F3"/>
        <bgColor rgb="FFF3F3F3"/>
      </patternFill>
    </fill>
    <fill>
      <patternFill patternType="solid">
        <fgColor rgb="FFFFFFFF"/>
        <bgColor rgb="FFFFFFFF"/>
      </patternFill>
    </fill>
  </fills>
  <borders count="7">
    <border/>
    <border>
      <left style="thin">
        <color rgb="FF000000"/>
      </left>
    </border>
    <border>
      <right style="thin">
        <color rgb="FF000000"/>
      </right>
    </border>
    <border>
      <right style="thin">
        <color rgb="FFD9EAD3"/>
      </right>
    </border>
    <border>
      <left style="thin">
        <color rgb="FF000000"/>
      </left>
      <right style="thin">
        <color rgb="FF000000"/>
      </right>
      <top style="thin">
        <color rgb="FF000000"/>
      </top>
      <bottom style="thin">
        <color rgb="FF000000"/>
      </bottom>
    </border>
    <border>
      <bottom style="thin">
        <color rgb="FF000000"/>
      </bottom>
    </border>
    <border>
      <top style="thin">
        <color rgb="FFD9EAD3"/>
      </top>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0" xfId="0" applyAlignment="1" applyFont="1">
      <alignment horizontal="left" readingOrder="0" shrinkToFit="0" vertical="center" wrapText="1"/>
    </xf>
    <xf borderId="1" fillId="2" fontId="3" numFmtId="0" xfId="0" applyAlignment="1" applyBorder="1" applyFont="1">
      <alignment horizontal="center" readingOrder="0" shrinkToFit="0" vertical="center" wrapText="1"/>
    </xf>
    <xf borderId="2" fillId="0" fontId="4" numFmtId="0" xfId="0" applyBorder="1" applyFont="1"/>
    <xf borderId="0" fillId="3" fontId="5" numFmtId="0" xfId="0" applyAlignment="1" applyFill="1" applyFont="1">
      <alignment horizontal="center" readingOrder="0" shrinkToFit="0" vertical="center" wrapText="1"/>
    </xf>
    <xf borderId="0" fillId="2" fontId="6" numFmtId="0" xfId="0" applyAlignment="1" applyFont="1">
      <alignment horizontal="left" readingOrder="0" vertical="center"/>
    </xf>
    <xf borderId="0" fillId="0" fontId="7" numFmtId="0" xfId="0" applyAlignment="1" applyFont="1">
      <alignment readingOrder="0" shrinkToFit="0" vertical="center" wrapText="1"/>
    </xf>
    <xf borderId="0" fillId="0" fontId="6" numFmtId="0" xfId="0" applyAlignment="1" applyFont="1">
      <alignment horizontal="left" readingOrder="0" shrinkToFit="0" vertical="center" wrapText="1"/>
    </xf>
    <xf borderId="0" fillId="3" fontId="5" numFmtId="0" xfId="0" applyAlignment="1" applyFont="1">
      <alignment horizontal="left" readingOrder="0" shrinkToFit="0" vertical="center" wrapText="1"/>
    </xf>
    <xf borderId="0" fillId="0" fontId="8" numFmtId="0" xfId="0" applyAlignment="1" applyFont="1">
      <alignment shrinkToFit="0" wrapText="1"/>
    </xf>
    <xf borderId="0" fillId="0" fontId="9" numFmtId="0" xfId="0" applyAlignment="1" applyFont="1">
      <alignment horizontal="center" readingOrder="0"/>
    </xf>
    <xf borderId="1" fillId="2" fontId="3" numFmtId="0" xfId="0" applyAlignment="1" applyBorder="1" applyFont="1">
      <alignment horizontal="center" readingOrder="0" vertical="center"/>
    </xf>
    <xf borderId="0" fillId="2" fontId="7" numFmtId="0" xfId="0" applyAlignment="1" applyFont="1">
      <alignment vertical="center"/>
    </xf>
    <xf borderId="0" fillId="3" fontId="5" numFmtId="0" xfId="0" applyAlignment="1" applyFont="1">
      <alignment horizontal="center" readingOrder="0"/>
    </xf>
    <xf borderId="0" fillId="3" fontId="6" numFmtId="0" xfId="0" applyAlignment="1" applyFont="1">
      <alignment horizontal="left" readingOrder="0" vertical="center"/>
    </xf>
    <xf borderId="0" fillId="4" fontId="0" numFmtId="0" xfId="0" applyAlignment="1" applyFill="1" applyFont="1">
      <alignment readingOrder="0"/>
    </xf>
    <xf borderId="0" fillId="0" fontId="0" numFmtId="0" xfId="0" applyAlignment="1" applyFont="1">
      <alignment readingOrder="0" shrinkToFit="0" vertical="center" wrapText="1"/>
    </xf>
    <xf borderId="0" fillId="0" fontId="0" numFmtId="0" xfId="0" applyAlignment="1" applyFont="1">
      <alignment horizontal="left" readingOrder="0" vertical="center"/>
    </xf>
    <xf borderId="0" fillId="4" fontId="0" numFmtId="0" xfId="0" applyAlignment="1" applyFont="1">
      <alignment readingOrder="0" shrinkToFit="0" vertical="center" wrapText="1"/>
    </xf>
    <xf borderId="0" fillId="4" fontId="0" numFmtId="0" xfId="0" applyFont="1"/>
    <xf borderId="0" fillId="4" fontId="0" numFmtId="0" xfId="0" applyAlignment="1" applyFont="1">
      <alignment horizontal="left" readingOrder="0" shrinkToFit="0" vertical="center" wrapText="1"/>
    </xf>
    <xf borderId="0" fillId="0" fontId="0" numFmtId="0" xfId="0" applyAlignment="1" applyFont="1">
      <alignment horizontal="left" readingOrder="0" shrinkToFit="0" vertical="center" wrapText="1"/>
    </xf>
    <xf borderId="0" fillId="0" fontId="10" numFmtId="0" xfId="0" applyAlignment="1" applyFont="1">
      <alignment horizontal="left" readingOrder="0" shrinkToFit="0" vertical="center" wrapText="1"/>
    </xf>
    <xf borderId="0" fillId="3" fontId="11" numFmtId="0" xfId="0" applyAlignment="1" applyFont="1">
      <alignment readingOrder="0" shrinkToFit="0" wrapText="1"/>
    </xf>
    <xf borderId="0" fillId="3" fontId="11" numFmtId="0" xfId="0" applyAlignment="1" applyFont="1">
      <alignment horizontal="center" shrinkToFit="0" wrapText="1"/>
    </xf>
    <xf borderId="0" fillId="3" fontId="11" numFmtId="3" xfId="0" applyAlignment="1" applyFont="1" applyNumberFormat="1">
      <alignment horizontal="center"/>
    </xf>
    <xf borderId="0" fillId="3" fontId="12" numFmtId="3" xfId="0" applyAlignment="1" applyFont="1" applyNumberFormat="1">
      <alignment horizontal="center"/>
    </xf>
    <xf borderId="0" fillId="3" fontId="11" numFmtId="3" xfId="0" applyAlignment="1" applyFont="1" applyNumberFormat="1">
      <alignment horizontal="center" shrinkToFit="0" wrapText="1"/>
    </xf>
    <xf borderId="0" fillId="3" fontId="11" numFmtId="164" xfId="0" applyAlignment="1" applyFont="1" applyNumberFormat="1">
      <alignment horizontal="center"/>
    </xf>
    <xf borderId="0" fillId="3" fontId="11" numFmtId="3" xfId="0" applyAlignment="1" applyFont="1" applyNumberFormat="1">
      <alignment horizontal="center" readingOrder="0" shrinkToFit="0" wrapText="1"/>
    </xf>
    <xf borderId="3" fillId="2" fontId="13" numFmtId="0" xfId="0" applyBorder="1" applyFont="1"/>
    <xf borderId="0" fillId="2" fontId="13" numFmtId="0" xfId="0" applyFont="1"/>
    <xf borderId="4" fillId="2" fontId="14" numFmtId="0" xfId="0" applyAlignment="1" applyBorder="1" applyFont="1">
      <alignment shrinkToFit="0" wrapText="1"/>
    </xf>
    <xf borderId="4" fillId="2" fontId="14" numFmtId="0" xfId="0" applyBorder="1" applyFont="1"/>
    <xf borderId="4" fillId="2" fontId="14" numFmtId="3" xfId="0" applyBorder="1" applyFont="1" applyNumberFormat="1"/>
    <xf borderId="4" fillId="2" fontId="14" numFmtId="3" xfId="0" applyAlignment="1" applyBorder="1" applyFont="1" applyNumberFormat="1">
      <alignment vertical="bottom"/>
    </xf>
    <xf borderId="4" fillId="2" fontId="14" numFmtId="164" xfId="0" applyAlignment="1" applyBorder="1" applyFont="1" applyNumberFormat="1">
      <alignment vertical="bottom"/>
    </xf>
    <xf borderId="4" fillId="2" fontId="8" numFmtId="0" xfId="0" applyAlignment="1" applyBorder="1" applyFont="1">
      <alignment vertical="bottom"/>
    </xf>
    <xf borderId="0" fillId="2" fontId="8" numFmtId="0" xfId="0" applyAlignment="1" applyFont="1">
      <alignment vertical="bottom"/>
    </xf>
    <xf borderId="0" fillId="0" fontId="7" numFmtId="0" xfId="0" applyAlignment="1" applyFont="1">
      <alignment readingOrder="0" vertical="center"/>
    </xf>
    <xf borderId="0" fillId="5" fontId="8" numFmtId="3" xfId="0" applyAlignment="1" applyFill="1" applyFont="1" applyNumberFormat="1">
      <alignment horizontal="center" vertical="center"/>
    </xf>
    <xf borderId="0" fillId="5" fontId="8" numFmtId="0" xfId="0" applyAlignment="1" applyFont="1">
      <alignment horizontal="center" vertical="center"/>
    </xf>
    <xf borderId="0" fillId="0" fontId="8" numFmtId="0" xfId="0" applyAlignment="1" applyFont="1">
      <alignment horizontal="center" readingOrder="0" vertical="center"/>
    </xf>
    <xf borderId="0" fillId="0" fontId="8" numFmtId="3" xfId="0" applyAlignment="1" applyFont="1" applyNumberFormat="1">
      <alignment horizontal="center" readingOrder="0" vertical="center"/>
    </xf>
    <xf borderId="0" fillId="0" fontId="8" numFmtId="165" xfId="0" applyAlignment="1" applyFont="1" applyNumberFormat="1">
      <alignment horizontal="center" readingOrder="0" vertical="center"/>
    </xf>
    <xf borderId="0" fillId="6" fontId="8" numFmtId="0" xfId="0" applyFill="1" applyFont="1"/>
    <xf borderId="0" fillId="2" fontId="7" numFmtId="0" xfId="0" applyFont="1"/>
    <xf borderId="0" fillId="0" fontId="8" numFmtId="0" xfId="0" applyAlignment="1" applyFont="1">
      <alignment horizontal="center" readingOrder="0" shrinkToFit="0" vertical="center" wrapText="1"/>
    </xf>
    <xf borderId="0" fillId="0" fontId="8" numFmtId="3" xfId="0" applyAlignment="1" applyFont="1" applyNumberFormat="1">
      <alignment horizontal="center" readingOrder="0" shrinkToFit="0" vertical="center" wrapText="1"/>
    </xf>
    <xf borderId="0" fillId="0" fontId="8" numFmtId="0" xfId="0" applyAlignment="1" applyFont="1">
      <alignment horizontal="center" readingOrder="0" shrinkToFit="0" vertical="bottom" wrapText="1"/>
    </xf>
    <xf borderId="0" fillId="0" fontId="15" numFmtId="3" xfId="0" applyAlignment="1" applyFont="1" applyNumberFormat="1">
      <alignment horizontal="center" readingOrder="0" vertical="bottom"/>
    </xf>
    <xf borderId="0" fillId="0" fontId="15" numFmtId="165" xfId="0" applyAlignment="1" applyFont="1" applyNumberFormat="1">
      <alignment horizontal="center" readingOrder="0" vertical="bottom"/>
    </xf>
    <xf borderId="5" fillId="0" fontId="4" numFmtId="0" xfId="0" applyBorder="1" applyFont="1"/>
    <xf borderId="5" fillId="0" fontId="8" numFmtId="0" xfId="0" applyAlignment="1" applyBorder="1" applyFont="1">
      <alignment horizontal="center" readingOrder="0" shrinkToFit="0" vertical="bottom" wrapText="1"/>
    </xf>
    <xf borderId="5" fillId="0" fontId="15" numFmtId="3" xfId="0" applyAlignment="1" applyBorder="1" applyFont="1" applyNumberFormat="1">
      <alignment horizontal="center" readingOrder="0" vertical="bottom"/>
    </xf>
    <xf borderId="5" fillId="0" fontId="15" numFmtId="165" xfId="0" applyAlignment="1" applyBorder="1" applyFont="1" applyNumberFormat="1">
      <alignment horizontal="center" readingOrder="0" vertical="bottom"/>
    </xf>
    <xf borderId="6" fillId="6" fontId="8" numFmtId="0" xfId="0" applyAlignment="1" applyBorder="1" applyFont="1">
      <alignment horizontal="center" readingOrder="0" shrinkToFit="0" vertical="center" wrapText="1"/>
    </xf>
    <xf borderId="0" fillId="0" fontId="8" numFmtId="49" xfId="0" applyAlignment="1" applyFont="1" applyNumberFormat="1">
      <alignment horizontal="center" readingOrder="0" shrinkToFit="0" vertical="center" wrapText="1"/>
    </xf>
    <xf borderId="6" fillId="6" fontId="8" numFmtId="0" xfId="0" applyBorder="1" applyFont="1"/>
    <xf borderId="0" fillId="0" fontId="8" numFmtId="0" xfId="0" applyAlignment="1" applyFont="1">
      <alignment horizontal="center" shrinkToFit="0" vertical="bottom" wrapText="1"/>
    </xf>
    <xf borderId="0" fillId="0" fontId="15" numFmtId="3" xfId="0" applyAlignment="1" applyFont="1" applyNumberFormat="1">
      <alignment horizontal="center" vertical="bottom"/>
    </xf>
    <xf borderId="0" fillId="0" fontId="15" numFmtId="165" xfId="0" applyAlignment="1" applyFont="1" applyNumberFormat="1">
      <alignment horizontal="center" vertical="bottom"/>
    </xf>
    <xf borderId="5" fillId="0" fontId="8" numFmtId="0" xfId="0" applyAlignment="1" applyBorder="1" applyFont="1">
      <alignment horizontal="center" shrinkToFit="0" vertical="bottom" wrapText="1"/>
    </xf>
    <xf borderId="5" fillId="0" fontId="15" numFmtId="3" xfId="0" applyAlignment="1" applyBorder="1" applyFont="1" applyNumberFormat="1">
      <alignment horizontal="center" vertical="bottom"/>
    </xf>
    <xf borderId="5" fillId="0" fontId="15" numFmtId="165" xfId="0" applyAlignment="1" applyBorder="1" applyFont="1" applyNumberFormat="1">
      <alignment horizontal="center" vertical="bottom"/>
    </xf>
    <xf borderId="0" fillId="0" fontId="8" numFmtId="0" xfId="0" applyAlignment="1" applyFont="1">
      <alignment horizontal="center" shrinkToFit="0" vertical="center" wrapText="1"/>
    </xf>
    <xf borderId="0" fillId="2" fontId="3" numFmtId="0" xfId="0" applyAlignment="1" applyFont="1">
      <alignment horizontal="center" readingOrder="0" shrinkToFit="0" vertical="center" wrapText="1"/>
    </xf>
    <xf borderId="2" fillId="2" fontId="3" numFmtId="0" xfId="0" applyAlignment="1" applyBorder="1" applyFont="1">
      <alignment horizontal="center" readingOrder="0" shrinkToFit="0" vertical="center" wrapText="1"/>
    </xf>
    <xf borderId="0" fillId="0" fontId="0" numFmtId="0" xfId="0" applyAlignment="1" applyFont="1">
      <alignment horizontal="center" readingOrder="0" shrinkToFit="0" vertical="center" wrapText="1"/>
    </xf>
    <xf borderId="0" fillId="0" fontId="16" numFmtId="0" xfId="0" applyAlignment="1" applyFont="1">
      <alignment readingOrder="0" shrinkToFit="0" vertical="center" wrapText="1"/>
    </xf>
    <xf borderId="0" fillId="2" fontId="0" numFmtId="0" xfId="0" applyAlignment="1" applyFont="1">
      <alignment horizontal="left" readingOrder="0" vertical="center"/>
    </xf>
    <xf borderId="0" fillId="5" fontId="0" numFmtId="0" xfId="0" applyAlignment="1" applyFont="1">
      <alignment readingOrder="0" shrinkToFit="0" vertical="center" wrapText="1"/>
    </xf>
    <xf borderId="0" fillId="5" fontId="0" numFmtId="0" xfId="0" applyAlignment="1" applyFont="1">
      <alignment readingOrder="0"/>
    </xf>
    <xf borderId="0" fillId="5" fontId="0" numFmtId="0" xfId="0" applyFont="1"/>
    <xf borderId="0" fillId="5" fontId="0" numFmtId="0" xfId="0" applyAlignment="1" applyFont="1">
      <alignment horizontal="left" readingOrder="0" shrinkToFit="0" vertical="center" wrapText="1"/>
    </xf>
    <xf borderId="0" fillId="2" fontId="1" numFmtId="0" xfId="0" applyAlignment="1" applyFont="1">
      <alignment horizontal="center" readingOrder="0"/>
    </xf>
    <xf borderId="0" fillId="2" fontId="2" numFmtId="0" xfId="0" applyAlignment="1" applyFont="1">
      <alignment horizontal="center" readingOrder="0"/>
    </xf>
    <xf borderId="0" fillId="2" fontId="17" numFmtId="0" xfId="0" applyFont="1"/>
    <xf borderId="0" fillId="2" fontId="18" numFmtId="0" xfId="0" applyAlignment="1" applyFont="1">
      <alignment horizontal="left" readingOrder="0" vertical="center"/>
    </xf>
    <xf borderId="0" fillId="2" fontId="19" numFmtId="0" xfId="0" applyAlignment="1" applyFont="1">
      <alignment horizontal="center" readingOrder="0" shrinkToFit="0" vertical="center" wrapText="1"/>
    </xf>
    <xf borderId="0" fillId="2" fontId="19" numFmtId="0" xfId="0" applyAlignment="1" applyFont="1">
      <alignment shrinkToFit="0" vertical="center" wrapText="1"/>
    </xf>
    <xf borderId="0" fillId="2" fontId="19" numFmtId="0" xfId="0" applyAlignment="1" applyFont="1">
      <alignment readingOrder="0" shrinkToFit="0" vertical="center" wrapText="1"/>
    </xf>
    <xf borderId="0" fillId="0" fontId="20" numFmtId="0" xfId="0" applyAlignment="1" applyFont="1">
      <alignment horizontal="left" readingOrder="0" vertical="center"/>
    </xf>
    <xf borderId="0" fillId="0" fontId="20" numFmtId="0" xfId="0" applyAlignment="1" applyFont="1">
      <alignment horizontal="center" readingOrder="0" vertical="center"/>
    </xf>
    <xf borderId="0" fillId="0" fontId="21" numFmtId="0" xfId="0" applyAlignment="1" applyFont="1">
      <alignment horizontal="center" readingOrder="0" vertical="center"/>
    </xf>
    <xf borderId="0" fillId="0" fontId="21" numFmtId="0" xfId="0" applyAlignment="1" applyFont="1">
      <alignment horizontal="center" readingOrder="0" vertical="center"/>
    </xf>
    <xf borderId="0" fillId="0" fontId="21" numFmtId="3" xfId="0" applyAlignment="1" applyFont="1" applyNumberFormat="1">
      <alignment horizontal="center" readingOrder="0" vertical="center"/>
    </xf>
    <xf borderId="0" fillId="0" fontId="21" numFmtId="165" xfId="0" applyAlignment="1" applyFont="1" applyNumberFormat="1">
      <alignment horizontal="center" readingOrder="0" vertical="center"/>
    </xf>
    <xf borderId="0" fillId="0" fontId="22" numFmtId="0" xfId="0" applyAlignment="1" applyFont="1">
      <alignment horizontal="center" readingOrder="0" vertical="center"/>
    </xf>
    <xf borderId="0" fillId="0" fontId="23" numFmtId="0" xfId="0" applyAlignment="1" applyFont="1">
      <alignment horizontal="center" vertical="center"/>
    </xf>
    <xf borderId="0" fillId="0" fontId="21" numFmtId="3" xfId="0" applyAlignment="1" applyFont="1" applyNumberFormat="1">
      <alignment horizontal="center" readingOrder="0" vertical="center"/>
    </xf>
    <xf borderId="0" fillId="6" fontId="23"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828800" cy="62865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828800" cy="62865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828800" cy="62865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document/d/114J-Ux3_3dKNPFeLHX87yUAFy9dZVTxzoDOve_JOWr4/edit?tab=t.0" TargetMode="External"/><Relationship Id="rId3" Type="http://schemas.openxmlformats.org/officeDocument/2006/relationships/drawing" Target="../drawings/drawing4.xml"/><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5" width="27.5"/>
    <col customWidth="1" min="6" max="6" width="3.0"/>
  </cols>
  <sheetData>
    <row r="1" ht="55.5" customHeight="1">
      <c r="A1" s="1"/>
      <c r="B1" s="2"/>
      <c r="C1" s="2"/>
      <c r="D1" s="3"/>
      <c r="F1" s="4"/>
    </row>
    <row r="2">
      <c r="A2" s="5" t="s">
        <v>0</v>
      </c>
      <c r="B2" s="5" t="s">
        <v>1</v>
      </c>
      <c r="C2" s="5" t="s">
        <v>2</v>
      </c>
      <c r="D2" s="5" t="s">
        <v>3</v>
      </c>
      <c r="E2" s="5" t="s">
        <v>4</v>
      </c>
      <c r="F2" s="6"/>
    </row>
    <row r="3">
      <c r="A3" s="7" t="s">
        <v>5</v>
      </c>
      <c r="B3" s="7" t="s">
        <v>6</v>
      </c>
      <c r="C3" s="7" t="s">
        <v>7</v>
      </c>
      <c r="D3" s="7" t="s">
        <v>8</v>
      </c>
      <c r="E3" s="8" t="s">
        <v>9</v>
      </c>
      <c r="F3" s="6"/>
    </row>
    <row r="4">
      <c r="A4" s="7" t="s">
        <v>10</v>
      </c>
      <c r="B4" s="7" t="s">
        <v>11</v>
      </c>
      <c r="C4" s="7" t="s">
        <v>12</v>
      </c>
      <c r="D4" s="7" t="s">
        <v>13</v>
      </c>
      <c r="E4" s="8" t="s">
        <v>14</v>
      </c>
      <c r="F4" s="6"/>
    </row>
    <row r="5">
      <c r="A5" s="7" t="s">
        <v>15</v>
      </c>
      <c r="B5" s="7" t="s">
        <v>16</v>
      </c>
      <c r="C5" s="7" t="s">
        <v>17</v>
      </c>
      <c r="D5" s="7" t="s">
        <v>18</v>
      </c>
      <c r="E5" s="8" t="s">
        <v>19</v>
      </c>
      <c r="F5" s="6"/>
    </row>
    <row r="6">
      <c r="A6" s="7" t="s">
        <v>20</v>
      </c>
      <c r="B6" s="7" t="s">
        <v>21</v>
      </c>
      <c r="C6" s="7" t="s">
        <v>22</v>
      </c>
      <c r="D6" s="7" t="s">
        <v>23</v>
      </c>
      <c r="E6" s="8" t="s">
        <v>24</v>
      </c>
      <c r="F6" s="6"/>
    </row>
    <row r="7">
      <c r="A7" s="7" t="s">
        <v>25</v>
      </c>
      <c r="B7" s="7" t="s">
        <v>26</v>
      </c>
      <c r="C7" s="7" t="s">
        <v>27</v>
      </c>
      <c r="D7" s="7" t="s">
        <v>28</v>
      </c>
      <c r="E7" s="8" t="s">
        <v>29</v>
      </c>
      <c r="F7" s="6"/>
    </row>
    <row r="8">
      <c r="A8" s="8"/>
      <c r="B8" s="8"/>
      <c r="C8" s="8"/>
      <c r="D8" s="8"/>
      <c r="E8" s="8"/>
      <c r="F8" s="6"/>
    </row>
    <row r="9">
      <c r="A9" s="9" t="s">
        <v>30</v>
      </c>
      <c r="F9" s="6"/>
    </row>
    <row r="10">
      <c r="A10" s="10" t="s">
        <v>31</v>
      </c>
      <c r="F10" s="6"/>
    </row>
    <row r="11">
      <c r="A11" s="8"/>
      <c r="B11" s="8"/>
      <c r="C11" s="8"/>
      <c r="D11" s="8"/>
      <c r="E11" s="8"/>
      <c r="F11" s="6"/>
    </row>
    <row r="12">
      <c r="A12" s="8"/>
      <c r="B12" s="8"/>
      <c r="C12" s="8"/>
      <c r="D12" s="8"/>
      <c r="E12" s="8"/>
      <c r="F12" s="6"/>
    </row>
    <row r="13">
      <c r="A13" s="8"/>
      <c r="B13" s="8"/>
      <c r="C13" s="8"/>
      <c r="D13" s="8"/>
      <c r="E13" s="8"/>
      <c r="F13" s="6"/>
    </row>
    <row r="14">
      <c r="A14" s="8"/>
      <c r="B14" s="8"/>
      <c r="C14" s="8"/>
      <c r="D14" s="8"/>
      <c r="E14" s="8"/>
      <c r="F14" s="6"/>
    </row>
    <row r="15">
      <c r="A15" s="8"/>
      <c r="B15" s="8"/>
      <c r="C15" s="8"/>
      <c r="D15" s="8"/>
      <c r="E15" s="8"/>
      <c r="F15" s="6"/>
    </row>
    <row r="16">
      <c r="A16" s="8"/>
      <c r="B16" s="8"/>
      <c r="C16" s="8"/>
      <c r="D16" s="8"/>
      <c r="E16" s="8"/>
      <c r="F16" s="6"/>
    </row>
    <row r="17">
      <c r="A17" s="11"/>
      <c r="B17" s="11"/>
      <c r="C17" s="11"/>
      <c r="D17" s="11"/>
      <c r="E17" s="11"/>
      <c r="F17" s="6"/>
    </row>
    <row r="18">
      <c r="F18" s="6"/>
    </row>
    <row r="19">
      <c r="F19" s="6"/>
    </row>
    <row r="20">
      <c r="F20" s="6"/>
    </row>
    <row r="21">
      <c r="F21" s="6"/>
    </row>
    <row r="22">
      <c r="F22" s="6"/>
    </row>
    <row r="23">
      <c r="A23" s="8"/>
      <c r="B23" s="8"/>
      <c r="C23" s="8"/>
      <c r="D23" s="8"/>
      <c r="E23" s="8"/>
      <c r="F23" s="6"/>
    </row>
    <row r="24">
      <c r="A24" s="8"/>
      <c r="B24" s="8"/>
      <c r="C24" s="8"/>
      <c r="D24" s="8"/>
      <c r="E24" s="8"/>
      <c r="F24" s="6"/>
    </row>
    <row r="25">
      <c r="A25" s="8"/>
      <c r="B25" s="8"/>
      <c r="C25" s="8"/>
      <c r="D25" s="8"/>
      <c r="E25" s="8"/>
      <c r="F25" s="6"/>
    </row>
    <row r="26">
      <c r="A26" s="8"/>
      <c r="B26" s="8"/>
      <c r="C26" s="8"/>
      <c r="D26" s="8"/>
      <c r="E26" s="8"/>
      <c r="F26" s="6"/>
    </row>
    <row r="27">
      <c r="A27" s="8"/>
      <c r="B27" s="8"/>
      <c r="C27" s="8"/>
      <c r="D27" s="8"/>
      <c r="E27" s="8"/>
      <c r="F27" s="6"/>
    </row>
    <row r="28">
      <c r="A28" s="8"/>
      <c r="B28" s="8"/>
      <c r="C28" s="8"/>
      <c r="D28" s="8"/>
      <c r="E28" s="8"/>
      <c r="F28" s="6"/>
    </row>
    <row r="29">
      <c r="A29" s="8"/>
      <c r="B29" s="8"/>
      <c r="C29" s="8"/>
      <c r="D29" s="8"/>
      <c r="E29" s="8"/>
      <c r="F29" s="6"/>
    </row>
    <row r="30">
      <c r="A30" s="8"/>
      <c r="B30" s="8"/>
      <c r="C30" s="8"/>
      <c r="D30" s="8"/>
      <c r="E30" s="8"/>
      <c r="F30" s="6"/>
    </row>
    <row r="31">
      <c r="A31" s="8"/>
      <c r="B31" s="8"/>
      <c r="C31" s="8"/>
      <c r="D31" s="8"/>
      <c r="E31" s="8"/>
      <c r="F31" s="6"/>
    </row>
    <row r="32">
      <c r="A32" s="8"/>
      <c r="B32" s="8"/>
      <c r="C32" s="8"/>
      <c r="D32" s="8"/>
      <c r="E32" s="8"/>
      <c r="F32" s="6"/>
    </row>
    <row r="33">
      <c r="A33" s="8"/>
      <c r="B33" s="8"/>
      <c r="C33" s="8"/>
      <c r="D33" s="8"/>
      <c r="E33" s="8"/>
      <c r="F33" s="6"/>
    </row>
    <row r="34">
      <c r="A34" s="8"/>
      <c r="B34" s="8"/>
      <c r="C34" s="8"/>
      <c r="D34" s="8"/>
      <c r="E34" s="8"/>
      <c r="F34" s="6"/>
    </row>
    <row r="35">
      <c r="A35" s="8"/>
      <c r="B35" s="8"/>
      <c r="C35" s="8"/>
      <c r="D35" s="8"/>
      <c r="E35" s="8"/>
      <c r="F35" s="6"/>
    </row>
    <row r="36">
      <c r="A36" s="8"/>
      <c r="B36" s="8"/>
      <c r="C36" s="8"/>
      <c r="D36" s="8"/>
      <c r="E36" s="8"/>
      <c r="F36" s="6"/>
    </row>
    <row r="37">
      <c r="A37" s="8"/>
      <c r="B37" s="8"/>
      <c r="C37" s="8"/>
      <c r="D37" s="8"/>
      <c r="E37" s="8"/>
      <c r="F37" s="6"/>
    </row>
    <row r="38">
      <c r="A38" s="8"/>
      <c r="B38" s="8"/>
      <c r="C38" s="8"/>
      <c r="D38" s="8"/>
      <c r="E38" s="8"/>
      <c r="F38" s="6"/>
    </row>
  </sheetData>
  <mergeCells count="3">
    <mergeCell ref="D1:F1"/>
    <mergeCell ref="A9:E9"/>
    <mergeCell ref="A10:E1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27.88"/>
    <col customWidth="1" min="2" max="2" width="25.88"/>
    <col customWidth="1" min="3" max="13" width="41.63"/>
    <col customWidth="1" hidden="1" min="14" max="19" width="41.63"/>
    <col customWidth="1" min="20" max="20" width="41.63"/>
  </cols>
  <sheetData>
    <row r="1" ht="55.5" customHeight="1">
      <c r="A1" s="1"/>
      <c r="B1" s="2"/>
      <c r="C1" s="2"/>
      <c r="D1" s="3"/>
      <c r="K1" s="4"/>
      <c r="L1" s="12"/>
      <c r="S1" s="4"/>
      <c r="T1" s="13"/>
    </row>
    <row r="2">
      <c r="A2" s="14" t="s">
        <v>32</v>
      </c>
      <c r="B2" s="14" t="s">
        <v>33</v>
      </c>
      <c r="C2" s="14" t="s">
        <v>34</v>
      </c>
      <c r="D2" s="14" t="s">
        <v>35</v>
      </c>
      <c r="E2" s="14" t="s">
        <v>36</v>
      </c>
      <c r="F2" s="14" t="s">
        <v>37</v>
      </c>
      <c r="G2" s="14" t="s">
        <v>38</v>
      </c>
      <c r="H2" s="15"/>
      <c r="I2" s="15"/>
      <c r="J2" s="15"/>
      <c r="K2" s="15"/>
      <c r="L2" s="15"/>
      <c r="M2" s="15"/>
      <c r="N2" s="15"/>
      <c r="O2" s="15"/>
      <c r="P2" s="15"/>
      <c r="Q2" s="15"/>
      <c r="R2" s="15"/>
      <c r="S2" s="15"/>
      <c r="T2" s="15"/>
    </row>
    <row r="3">
      <c r="A3" s="16" t="s">
        <v>5</v>
      </c>
      <c r="B3" s="16" t="s">
        <v>39</v>
      </c>
      <c r="C3" s="17"/>
      <c r="D3" s="17"/>
      <c r="E3" s="17"/>
      <c r="F3" s="17"/>
      <c r="G3" s="18"/>
      <c r="H3" s="18"/>
      <c r="I3" s="18"/>
      <c r="J3" s="18"/>
      <c r="K3" s="18"/>
      <c r="L3" s="18"/>
      <c r="M3" s="18"/>
      <c r="N3" s="18"/>
      <c r="O3" s="18"/>
      <c r="P3" s="18"/>
      <c r="Q3" s="18"/>
      <c r="R3" s="18"/>
      <c r="S3" s="18"/>
      <c r="T3" s="18"/>
    </row>
    <row r="4">
      <c r="A4" s="19"/>
      <c r="B4" s="16" t="s">
        <v>40</v>
      </c>
      <c r="C4" s="17"/>
      <c r="D4" s="17"/>
      <c r="E4" s="17"/>
      <c r="F4" s="17"/>
      <c r="G4" s="18"/>
      <c r="H4" s="18"/>
      <c r="I4" s="18"/>
      <c r="J4" s="18"/>
      <c r="K4" s="18"/>
      <c r="L4" s="18"/>
      <c r="M4" s="18"/>
      <c r="N4" s="18"/>
      <c r="O4" s="18"/>
      <c r="P4" s="18"/>
      <c r="Q4" s="18"/>
      <c r="R4" s="18"/>
      <c r="S4" s="18"/>
      <c r="T4" s="18"/>
    </row>
    <row r="5">
      <c r="A5" s="19"/>
      <c r="B5" s="16" t="s">
        <v>41</v>
      </c>
      <c r="C5" s="17"/>
      <c r="D5" s="17"/>
      <c r="E5" s="17"/>
      <c r="F5" s="17"/>
      <c r="G5" s="18"/>
      <c r="H5" s="18"/>
      <c r="I5" s="18"/>
      <c r="J5" s="18"/>
      <c r="K5" s="18"/>
      <c r="L5" s="18"/>
      <c r="M5" s="18"/>
      <c r="N5" s="18"/>
      <c r="O5" s="18"/>
      <c r="P5" s="18"/>
      <c r="Q5" s="18"/>
      <c r="R5" s="18"/>
      <c r="S5" s="18"/>
      <c r="T5" s="18"/>
    </row>
    <row r="6">
      <c r="A6" s="19"/>
      <c r="B6" s="16" t="s">
        <v>42</v>
      </c>
      <c r="C6" s="17"/>
      <c r="D6" s="17"/>
      <c r="E6" s="17"/>
      <c r="F6" s="17"/>
      <c r="G6" s="18"/>
      <c r="H6" s="18"/>
      <c r="I6" s="18"/>
      <c r="J6" s="18"/>
      <c r="K6" s="18"/>
      <c r="L6" s="18"/>
      <c r="M6" s="18"/>
      <c r="N6" s="18"/>
      <c r="O6" s="18"/>
      <c r="P6" s="18"/>
      <c r="Q6" s="18"/>
      <c r="R6" s="18"/>
      <c r="S6" s="18"/>
      <c r="T6" s="18"/>
    </row>
    <row r="7">
      <c r="A7" s="19"/>
      <c r="B7" s="16" t="s">
        <v>43</v>
      </c>
      <c r="C7" s="17"/>
      <c r="D7" s="17"/>
      <c r="E7" s="17"/>
      <c r="F7" s="17"/>
      <c r="G7" s="18"/>
      <c r="H7" s="18"/>
      <c r="I7" s="18"/>
      <c r="J7" s="18"/>
      <c r="K7" s="18"/>
      <c r="L7" s="18"/>
      <c r="M7" s="18"/>
      <c r="N7" s="18"/>
      <c r="O7" s="18"/>
      <c r="P7" s="18"/>
      <c r="Q7" s="18"/>
      <c r="R7" s="18"/>
      <c r="S7" s="18"/>
      <c r="T7" s="18"/>
    </row>
    <row r="8">
      <c r="A8" s="19"/>
      <c r="B8" s="20"/>
      <c r="C8" s="17"/>
      <c r="D8" s="17"/>
      <c r="E8" s="17"/>
      <c r="F8" s="17"/>
      <c r="G8" s="18"/>
      <c r="H8" s="18"/>
      <c r="I8" s="18"/>
      <c r="J8" s="18"/>
      <c r="K8" s="18"/>
      <c r="L8" s="18"/>
      <c r="M8" s="18"/>
      <c r="N8" s="18"/>
      <c r="O8" s="18"/>
      <c r="P8" s="18"/>
      <c r="Q8" s="18"/>
      <c r="R8" s="18"/>
      <c r="S8" s="18"/>
      <c r="T8" s="18"/>
    </row>
    <row r="9">
      <c r="A9" s="16" t="s">
        <v>10</v>
      </c>
      <c r="B9" s="16" t="s">
        <v>44</v>
      </c>
      <c r="C9" s="17"/>
      <c r="D9" s="17"/>
      <c r="E9" s="17"/>
      <c r="F9" s="17"/>
      <c r="G9" s="18"/>
      <c r="H9" s="18"/>
      <c r="I9" s="18"/>
      <c r="J9" s="18"/>
      <c r="K9" s="18"/>
      <c r="L9" s="18"/>
      <c r="M9" s="18"/>
      <c r="N9" s="18"/>
      <c r="O9" s="18"/>
      <c r="P9" s="18"/>
      <c r="Q9" s="18"/>
      <c r="R9" s="18"/>
      <c r="S9" s="18"/>
      <c r="T9" s="18"/>
    </row>
    <row r="10">
      <c r="A10" s="19"/>
      <c r="B10" s="16" t="s">
        <v>45</v>
      </c>
      <c r="C10" s="17"/>
      <c r="D10" s="17"/>
      <c r="E10" s="17"/>
      <c r="F10" s="17"/>
      <c r="G10" s="18"/>
      <c r="H10" s="18"/>
      <c r="I10" s="18"/>
      <c r="J10" s="18"/>
      <c r="K10" s="18"/>
      <c r="L10" s="18"/>
      <c r="M10" s="18"/>
      <c r="N10" s="18"/>
      <c r="O10" s="18"/>
      <c r="P10" s="18"/>
      <c r="Q10" s="18"/>
      <c r="R10" s="18"/>
      <c r="S10" s="18"/>
      <c r="T10" s="18"/>
    </row>
    <row r="11">
      <c r="A11" s="21"/>
      <c r="B11" s="16" t="s">
        <v>46</v>
      </c>
      <c r="C11" s="22"/>
      <c r="D11" s="22"/>
      <c r="E11" s="22"/>
      <c r="F11" s="18"/>
      <c r="G11" s="18"/>
      <c r="H11" s="18"/>
      <c r="I11" s="18"/>
      <c r="J11" s="18"/>
      <c r="K11" s="18"/>
      <c r="L11" s="18"/>
      <c r="M11" s="18"/>
      <c r="N11" s="18"/>
      <c r="O11" s="18"/>
      <c r="P11" s="18"/>
      <c r="Q11" s="18"/>
      <c r="R11" s="18"/>
      <c r="S11" s="18"/>
      <c r="T11" s="18"/>
    </row>
    <row r="12">
      <c r="A12" s="21"/>
      <c r="B12" s="21" t="s">
        <v>47</v>
      </c>
      <c r="C12" s="22"/>
      <c r="D12" s="22"/>
      <c r="E12" s="22"/>
      <c r="F12" s="18"/>
      <c r="G12" s="18"/>
      <c r="H12" s="18"/>
      <c r="I12" s="18"/>
      <c r="J12" s="18"/>
      <c r="K12" s="18"/>
      <c r="L12" s="18"/>
      <c r="M12" s="18"/>
      <c r="N12" s="18"/>
      <c r="O12" s="18"/>
      <c r="P12" s="18"/>
      <c r="Q12" s="18"/>
      <c r="R12" s="18"/>
      <c r="S12" s="18"/>
      <c r="T12" s="18"/>
    </row>
    <row r="13">
      <c r="A13" s="16"/>
      <c r="B13" s="21"/>
      <c r="C13" s="22"/>
      <c r="D13" s="22"/>
      <c r="E13" s="22"/>
      <c r="F13" s="18"/>
      <c r="G13" s="18"/>
      <c r="H13" s="18"/>
      <c r="I13" s="18"/>
      <c r="J13" s="18"/>
      <c r="K13" s="18"/>
      <c r="L13" s="18"/>
      <c r="M13" s="18"/>
      <c r="N13" s="18"/>
      <c r="O13" s="18"/>
      <c r="P13" s="18"/>
      <c r="Q13" s="18"/>
      <c r="R13" s="18"/>
      <c r="S13" s="18"/>
      <c r="T13" s="18"/>
    </row>
    <row r="14">
      <c r="A14" s="21" t="s">
        <v>15</v>
      </c>
      <c r="B14" s="21" t="s">
        <v>48</v>
      </c>
      <c r="C14" s="23" t="str">
        <f>HYPERLINK("#gid=1829056249&amp;rangeA14", "When a Pub Is the Right Choice for Casual Dining")</f>
        <v>When a Pub Is the Right Choice for Casual Dining</v>
      </c>
      <c r="D14" s="22"/>
      <c r="E14" s="22"/>
      <c r="F14" s="18"/>
      <c r="G14" s="18"/>
      <c r="H14" s="18"/>
      <c r="I14" s="18"/>
      <c r="J14" s="18"/>
      <c r="K14" s="18"/>
      <c r="L14" s="18"/>
      <c r="M14" s="18"/>
      <c r="N14" s="18"/>
      <c r="O14" s="18"/>
      <c r="P14" s="18"/>
      <c r="Q14" s="18"/>
      <c r="R14" s="18"/>
      <c r="S14" s="18"/>
      <c r="T14" s="18"/>
    </row>
    <row r="15">
      <c r="A15" s="21"/>
      <c r="B15" s="21" t="s">
        <v>49</v>
      </c>
      <c r="C15" s="22"/>
      <c r="D15" s="22"/>
      <c r="E15" s="22"/>
      <c r="F15" s="18"/>
      <c r="G15" s="18"/>
      <c r="H15" s="18"/>
      <c r="I15" s="18"/>
      <c r="J15" s="18"/>
      <c r="K15" s="18"/>
      <c r="L15" s="18"/>
      <c r="M15" s="18"/>
      <c r="N15" s="18"/>
      <c r="O15" s="18"/>
      <c r="P15" s="18"/>
      <c r="Q15" s="18"/>
      <c r="R15" s="18"/>
      <c r="S15" s="18"/>
      <c r="T15" s="18"/>
    </row>
    <row r="16">
      <c r="A16" s="21"/>
      <c r="B16" s="21" t="s">
        <v>50</v>
      </c>
      <c r="C16" s="22"/>
      <c r="D16" s="22"/>
      <c r="E16" s="22"/>
      <c r="F16" s="18"/>
      <c r="G16" s="18"/>
      <c r="H16" s="18"/>
      <c r="I16" s="18"/>
      <c r="J16" s="18"/>
      <c r="K16" s="18"/>
      <c r="L16" s="18"/>
      <c r="M16" s="18"/>
      <c r="N16" s="18"/>
      <c r="O16" s="18"/>
      <c r="P16" s="18"/>
      <c r="Q16" s="18"/>
      <c r="R16" s="18"/>
      <c r="S16" s="18"/>
      <c r="T16" s="18"/>
    </row>
    <row r="17">
      <c r="A17" s="21"/>
      <c r="B17" s="21" t="s">
        <v>51</v>
      </c>
      <c r="C17" s="22"/>
      <c r="D17" s="22"/>
      <c r="E17" s="22"/>
      <c r="F17" s="18"/>
      <c r="G17" s="18"/>
      <c r="H17" s="18"/>
      <c r="I17" s="18"/>
      <c r="J17" s="18"/>
      <c r="K17" s="18"/>
      <c r="L17" s="18"/>
      <c r="M17" s="18"/>
      <c r="N17" s="18"/>
      <c r="O17" s="18"/>
      <c r="P17" s="18"/>
      <c r="Q17" s="18"/>
      <c r="R17" s="18"/>
      <c r="S17" s="18"/>
      <c r="T17" s="18"/>
    </row>
    <row r="18">
      <c r="A18" s="21"/>
      <c r="B18" s="21" t="s">
        <v>52</v>
      </c>
      <c r="C18" s="17"/>
      <c r="D18" s="22"/>
      <c r="E18" s="22"/>
      <c r="F18" s="18"/>
      <c r="G18" s="18"/>
      <c r="H18" s="18"/>
      <c r="I18" s="18"/>
      <c r="J18" s="18"/>
      <c r="K18" s="18"/>
      <c r="L18" s="18"/>
      <c r="M18" s="18"/>
      <c r="N18" s="18"/>
      <c r="O18" s="18"/>
      <c r="P18" s="18"/>
      <c r="Q18" s="18"/>
      <c r="R18" s="18"/>
      <c r="S18" s="18"/>
      <c r="T18" s="18"/>
    </row>
    <row r="19">
      <c r="A19" s="21"/>
      <c r="B19" s="21"/>
      <c r="C19" s="22"/>
      <c r="D19" s="22"/>
      <c r="E19" s="22"/>
      <c r="F19" s="18"/>
      <c r="G19" s="18"/>
      <c r="H19" s="18"/>
      <c r="I19" s="18"/>
      <c r="J19" s="18"/>
      <c r="K19" s="18"/>
      <c r="L19" s="18"/>
      <c r="M19" s="18"/>
      <c r="N19" s="18"/>
      <c r="O19" s="18"/>
      <c r="P19" s="18"/>
      <c r="Q19" s="18"/>
      <c r="R19" s="18"/>
      <c r="S19" s="18"/>
      <c r="T19" s="18"/>
    </row>
    <row r="20">
      <c r="A20" s="21" t="s">
        <v>20</v>
      </c>
      <c r="B20" s="21" t="s">
        <v>53</v>
      </c>
      <c r="C20" s="23" t="str">
        <f>HYPERLINK("#gid=1829056249&amp;rangeA4", "How People Find Local Pubs in Kitchener")</f>
        <v>How People Find Local Pubs in Kitchener</v>
      </c>
      <c r="D20" s="22"/>
      <c r="E20" s="22"/>
      <c r="F20" s="18"/>
      <c r="G20" s="18"/>
      <c r="H20" s="18"/>
      <c r="I20" s="18"/>
      <c r="J20" s="18"/>
      <c r="K20" s="18"/>
      <c r="L20" s="18"/>
      <c r="M20" s="18"/>
      <c r="N20" s="18"/>
      <c r="O20" s="18"/>
      <c r="P20" s="18"/>
      <c r="Q20" s="18"/>
      <c r="R20" s="18"/>
      <c r="S20" s="18"/>
      <c r="T20" s="18"/>
    </row>
    <row r="21">
      <c r="A21" s="21"/>
      <c r="B21" s="21" t="s">
        <v>54</v>
      </c>
      <c r="C21" s="22"/>
      <c r="D21" s="22"/>
      <c r="E21" s="22"/>
      <c r="F21" s="18"/>
      <c r="G21" s="18"/>
      <c r="H21" s="18"/>
      <c r="I21" s="18"/>
      <c r="J21" s="18"/>
      <c r="K21" s="18"/>
      <c r="L21" s="18"/>
      <c r="M21" s="18"/>
      <c r="N21" s="18"/>
      <c r="O21" s="18"/>
      <c r="P21" s="18"/>
      <c r="Q21" s="18"/>
      <c r="R21" s="18"/>
      <c r="S21" s="18"/>
      <c r="T21" s="18"/>
    </row>
    <row r="22">
      <c r="A22" s="21"/>
      <c r="B22" s="21" t="s">
        <v>55</v>
      </c>
      <c r="C22" s="22"/>
      <c r="D22" s="22"/>
      <c r="E22" s="22"/>
      <c r="F22" s="18"/>
      <c r="G22" s="18"/>
      <c r="H22" s="18"/>
      <c r="I22" s="18"/>
      <c r="J22" s="18"/>
      <c r="K22" s="18"/>
      <c r="L22" s="18"/>
      <c r="M22" s="18"/>
      <c r="N22" s="18"/>
      <c r="O22" s="18"/>
      <c r="P22" s="18"/>
      <c r="Q22" s="18"/>
      <c r="R22" s="18"/>
      <c r="S22" s="18"/>
      <c r="T22" s="18"/>
    </row>
    <row r="23">
      <c r="A23" s="21"/>
      <c r="B23" s="21"/>
      <c r="C23" s="22"/>
      <c r="D23" s="22"/>
      <c r="E23" s="22"/>
      <c r="F23" s="18"/>
      <c r="G23" s="18"/>
      <c r="H23" s="18"/>
      <c r="I23" s="18"/>
      <c r="J23" s="18"/>
      <c r="K23" s="18"/>
      <c r="L23" s="18"/>
      <c r="M23" s="18"/>
      <c r="N23" s="18"/>
      <c r="O23" s="18"/>
      <c r="P23" s="18"/>
      <c r="Q23" s="18"/>
      <c r="R23" s="18"/>
      <c r="S23" s="18"/>
      <c r="T23" s="18"/>
    </row>
    <row r="24">
      <c r="A24" s="21" t="s">
        <v>25</v>
      </c>
      <c r="B24" s="21" t="s">
        <v>56</v>
      </c>
      <c r="C24" s="22"/>
      <c r="D24" s="22"/>
      <c r="E24" s="22"/>
      <c r="F24" s="18"/>
      <c r="G24" s="18"/>
      <c r="H24" s="18"/>
      <c r="I24" s="18"/>
      <c r="J24" s="18"/>
      <c r="K24" s="18"/>
      <c r="L24" s="18"/>
      <c r="M24" s="18"/>
      <c r="N24" s="18"/>
      <c r="O24" s="18"/>
      <c r="P24" s="18"/>
      <c r="Q24" s="18"/>
      <c r="R24" s="18"/>
      <c r="S24" s="18"/>
      <c r="T24" s="18"/>
    </row>
    <row r="25">
      <c r="A25" s="21"/>
      <c r="B25" s="21" t="s">
        <v>57</v>
      </c>
      <c r="C25" s="22"/>
      <c r="D25" s="22"/>
      <c r="E25" s="22"/>
      <c r="F25" s="18"/>
      <c r="G25" s="18"/>
      <c r="H25" s="18"/>
      <c r="I25" s="18"/>
      <c r="J25" s="18"/>
      <c r="K25" s="18"/>
      <c r="L25" s="18"/>
      <c r="M25" s="18"/>
      <c r="N25" s="18"/>
      <c r="O25" s="18"/>
      <c r="P25" s="18"/>
      <c r="Q25" s="18"/>
      <c r="R25" s="18"/>
      <c r="S25" s="18"/>
      <c r="T25" s="18"/>
    </row>
    <row r="26">
      <c r="A26" s="21"/>
      <c r="B26" s="21" t="s">
        <v>58</v>
      </c>
      <c r="C26" s="22"/>
      <c r="D26" s="22"/>
      <c r="E26" s="22"/>
      <c r="F26" s="18"/>
      <c r="G26" s="18"/>
      <c r="H26" s="18"/>
      <c r="I26" s="18"/>
      <c r="J26" s="18"/>
      <c r="K26" s="18"/>
      <c r="L26" s="18"/>
      <c r="M26" s="18"/>
      <c r="N26" s="18"/>
      <c r="O26" s="18"/>
      <c r="P26" s="18"/>
      <c r="Q26" s="18"/>
      <c r="R26" s="18"/>
      <c r="S26" s="18"/>
      <c r="T26" s="18"/>
    </row>
    <row r="27">
      <c r="A27" s="21"/>
      <c r="B27" s="21" t="s">
        <v>59</v>
      </c>
      <c r="C27" s="22"/>
      <c r="D27" s="22"/>
      <c r="E27" s="22"/>
      <c r="F27" s="18"/>
      <c r="G27" s="18"/>
      <c r="H27" s="18"/>
      <c r="I27" s="18"/>
      <c r="J27" s="18"/>
      <c r="K27" s="18"/>
      <c r="L27" s="18"/>
      <c r="M27" s="18"/>
      <c r="N27" s="18"/>
      <c r="O27" s="18"/>
      <c r="P27" s="18"/>
      <c r="Q27" s="18"/>
      <c r="R27" s="18"/>
      <c r="S27" s="18"/>
      <c r="T27" s="18"/>
    </row>
    <row r="28">
      <c r="A28" s="21"/>
      <c r="B28" s="21"/>
      <c r="C28" s="22"/>
      <c r="D28" s="22"/>
      <c r="E28" s="22"/>
      <c r="F28" s="18"/>
      <c r="G28" s="18"/>
      <c r="H28" s="18"/>
      <c r="I28" s="18"/>
      <c r="J28" s="18"/>
      <c r="K28" s="18"/>
      <c r="L28" s="18"/>
      <c r="M28" s="18"/>
      <c r="N28" s="18"/>
      <c r="O28" s="18"/>
      <c r="P28" s="18"/>
      <c r="Q28" s="18"/>
      <c r="R28" s="18"/>
      <c r="S28" s="18"/>
      <c r="T28" s="18"/>
    </row>
    <row r="29">
      <c r="A29" s="21"/>
      <c r="B29" s="21"/>
      <c r="C29" s="22"/>
      <c r="D29" s="22"/>
      <c r="E29" s="22"/>
      <c r="F29" s="18"/>
      <c r="G29" s="18"/>
      <c r="H29" s="18"/>
      <c r="I29" s="18"/>
      <c r="J29" s="18"/>
      <c r="K29" s="18"/>
      <c r="L29" s="18"/>
      <c r="M29" s="18"/>
      <c r="N29" s="18"/>
      <c r="O29" s="18"/>
      <c r="P29" s="18"/>
      <c r="Q29" s="18"/>
      <c r="R29" s="18"/>
      <c r="S29" s="18"/>
      <c r="T29" s="18"/>
    </row>
    <row r="30">
      <c r="A30" s="21"/>
      <c r="B30" s="21"/>
      <c r="C30" s="22"/>
      <c r="D30" s="22"/>
      <c r="E30" s="22"/>
      <c r="F30" s="18"/>
      <c r="G30" s="18"/>
      <c r="H30" s="18"/>
      <c r="I30" s="18"/>
      <c r="J30" s="18"/>
      <c r="K30" s="18"/>
      <c r="L30" s="18"/>
      <c r="M30" s="18"/>
      <c r="N30" s="18"/>
      <c r="O30" s="18"/>
      <c r="P30" s="18"/>
      <c r="Q30" s="18"/>
      <c r="R30" s="18"/>
      <c r="S30" s="18"/>
      <c r="T30" s="18"/>
    </row>
    <row r="31">
      <c r="A31" s="21"/>
      <c r="B31" s="21"/>
      <c r="C31" s="22"/>
      <c r="D31" s="22"/>
      <c r="E31" s="22"/>
      <c r="F31" s="18"/>
      <c r="G31" s="18"/>
      <c r="H31" s="18"/>
      <c r="I31" s="18"/>
      <c r="J31" s="18"/>
      <c r="K31" s="18"/>
      <c r="L31" s="18"/>
      <c r="M31" s="18"/>
      <c r="N31" s="18"/>
      <c r="O31" s="18"/>
      <c r="P31" s="18"/>
      <c r="Q31" s="18"/>
      <c r="R31" s="18"/>
      <c r="S31" s="18"/>
      <c r="T31" s="18"/>
    </row>
    <row r="32">
      <c r="A32" s="21"/>
      <c r="B32" s="21"/>
      <c r="C32" s="22"/>
      <c r="D32" s="22"/>
      <c r="E32" s="22"/>
      <c r="F32" s="18"/>
      <c r="G32" s="18"/>
      <c r="H32" s="18"/>
      <c r="I32" s="18"/>
      <c r="J32" s="18"/>
      <c r="K32" s="18"/>
      <c r="L32" s="18"/>
      <c r="M32" s="18"/>
      <c r="N32" s="18"/>
      <c r="O32" s="18"/>
      <c r="P32" s="18"/>
      <c r="Q32" s="18"/>
      <c r="R32" s="18"/>
      <c r="S32" s="18"/>
      <c r="T32" s="18"/>
    </row>
    <row r="33">
      <c r="A33" s="21"/>
      <c r="B33" s="21"/>
      <c r="C33" s="22"/>
      <c r="D33" s="22"/>
      <c r="E33" s="22"/>
      <c r="F33" s="18"/>
      <c r="G33" s="18"/>
      <c r="H33" s="18"/>
      <c r="I33" s="18"/>
      <c r="J33" s="18"/>
      <c r="K33" s="18"/>
      <c r="L33" s="18"/>
      <c r="M33" s="18"/>
      <c r="N33" s="18"/>
      <c r="O33" s="18"/>
      <c r="P33" s="18"/>
      <c r="Q33" s="18"/>
      <c r="R33" s="18"/>
      <c r="S33" s="18"/>
      <c r="T33" s="18"/>
    </row>
    <row r="34">
      <c r="A34" s="21"/>
      <c r="B34" s="21"/>
      <c r="C34" s="22"/>
      <c r="D34" s="22"/>
      <c r="E34" s="22"/>
      <c r="F34" s="18"/>
      <c r="G34" s="18"/>
      <c r="H34" s="18"/>
      <c r="I34" s="18"/>
      <c r="J34" s="18"/>
      <c r="K34" s="18"/>
      <c r="L34" s="18"/>
      <c r="M34" s="18"/>
      <c r="N34" s="18"/>
      <c r="O34" s="18"/>
      <c r="P34" s="18"/>
      <c r="Q34" s="18"/>
      <c r="R34" s="18"/>
      <c r="S34" s="18"/>
      <c r="T34" s="18"/>
    </row>
    <row r="35">
      <c r="A35" s="21"/>
      <c r="B35" s="21"/>
      <c r="C35" s="22"/>
      <c r="D35" s="22"/>
      <c r="E35" s="22"/>
      <c r="F35" s="18"/>
      <c r="G35" s="18"/>
      <c r="H35" s="18"/>
      <c r="I35" s="18"/>
      <c r="J35" s="18"/>
      <c r="K35" s="18"/>
      <c r="L35" s="18"/>
      <c r="M35" s="18"/>
      <c r="N35" s="18"/>
      <c r="O35" s="18"/>
      <c r="P35" s="18"/>
      <c r="Q35" s="18"/>
      <c r="R35" s="18"/>
      <c r="S35" s="18"/>
      <c r="T35" s="18"/>
    </row>
    <row r="36">
      <c r="A36" s="21"/>
      <c r="B36" s="21"/>
      <c r="C36" s="22"/>
      <c r="D36" s="22"/>
      <c r="E36" s="22"/>
      <c r="F36" s="18"/>
      <c r="G36" s="18"/>
      <c r="H36" s="18"/>
      <c r="I36" s="18"/>
      <c r="J36" s="18"/>
      <c r="K36" s="18"/>
      <c r="L36" s="18"/>
      <c r="M36" s="18"/>
      <c r="N36" s="18"/>
      <c r="O36" s="18"/>
      <c r="P36" s="18"/>
      <c r="Q36" s="18"/>
      <c r="R36" s="18"/>
      <c r="S36" s="18"/>
      <c r="T36" s="18"/>
    </row>
    <row r="37">
      <c r="A37" s="21"/>
      <c r="B37" s="21"/>
      <c r="C37" s="22"/>
      <c r="D37" s="22"/>
      <c r="E37" s="22"/>
      <c r="F37" s="18"/>
      <c r="G37" s="18"/>
      <c r="H37" s="18"/>
      <c r="I37" s="18"/>
      <c r="J37" s="18"/>
      <c r="K37" s="18"/>
      <c r="L37" s="18"/>
      <c r="M37" s="18"/>
      <c r="N37" s="18"/>
      <c r="O37" s="18"/>
      <c r="P37" s="18"/>
      <c r="Q37" s="18"/>
      <c r="R37" s="18"/>
      <c r="S37" s="18"/>
      <c r="T37" s="18"/>
    </row>
    <row r="38">
      <c r="A38" s="21"/>
      <c r="B38" s="21"/>
      <c r="C38" s="22"/>
      <c r="D38" s="22"/>
      <c r="E38" s="22"/>
      <c r="F38" s="18"/>
      <c r="G38" s="18"/>
      <c r="H38" s="18"/>
      <c r="I38" s="18"/>
      <c r="J38" s="18"/>
      <c r="K38" s="18"/>
      <c r="L38" s="18"/>
      <c r="M38" s="18"/>
      <c r="N38" s="18"/>
      <c r="O38" s="18"/>
      <c r="P38" s="18"/>
      <c r="Q38" s="18"/>
      <c r="R38" s="18"/>
      <c r="S38" s="18"/>
      <c r="T38" s="18"/>
    </row>
  </sheetData>
  <mergeCells count="2">
    <mergeCell ref="D1:K1"/>
    <mergeCell ref="L1:S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40.25"/>
    <col customWidth="1" min="2" max="4" width="14.75"/>
    <col customWidth="1" min="5" max="5" width="62.75"/>
    <col customWidth="1" min="6" max="9" width="10.75"/>
    <col customWidth="1" min="10" max="10" width="34.38"/>
    <col customWidth="1" min="11" max="20" width="2.88"/>
  </cols>
  <sheetData>
    <row r="1" ht="55.5" customHeight="1">
      <c r="A1" s="1"/>
      <c r="B1" s="2"/>
      <c r="C1" s="2"/>
      <c r="D1" s="3"/>
      <c r="K1" s="4"/>
      <c r="L1" s="12"/>
      <c r="S1" s="4"/>
      <c r="T1" s="13"/>
    </row>
    <row r="2">
      <c r="A2" s="24" t="s">
        <v>60</v>
      </c>
      <c r="B2" s="25" t="s">
        <v>61</v>
      </c>
      <c r="C2" s="26" t="s">
        <v>62</v>
      </c>
      <c r="D2" s="27" t="s">
        <v>63</v>
      </c>
      <c r="E2" s="28" t="s">
        <v>64</v>
      </c>
      <c r="F2" s="26" t="s">
        <v>65</v>
      </c>
      <c r="G2" s="26" t="s">
        <v>66</v>
      </c>
      <c r="H2" s="26" t="s">
        <v>67</v>
      </c>
      <c r="I2" s="29" t="s">
        <v>68</v>
      </c>
      <c r="J2" s="30" t="s">
        <v>4</v>
      </c>
      <c r="K2" s="31"/>
      <c r="L2" s="32"/>
      <c r="M2" s="32"/>
      <c r="N2" s="32"/>
      <c r="O2" s="32"/>
      <c r="P2" s="32"/>
      <c r="Q2" s="32"/>
      <c r="R2" s="32"/>
      <c r="S2" s="32"/>
      <c r="T2" s="32"/>
    </row>
    <row r="3" ht="3.75" customHeight="1">
      <c r="A3" s="33"/>
      <c r="B3" s="34"/>
      <c r="C3" s="35"/>
      <c r="D3" s="35"/>
      <c r="E3" s="36"/>
      <c r="F3" s="36"/>
      <c r="G3" s="36"/>
      <c r="H3" s="36"/>
      <c r="I3" s="37"/>
      <c r="J3" s="34"/>
      <c r="K3" s="38"/>
      <c r="L3" s="38"/>
      <c r="M3" s="38"/>
      <c r="N3" s="39"/>
      <c r="O3" s="39"/>
      <c r="P3" s="39"/>
      <c r="Q3" s="39"/>
      <c r="R3" s="39"/>
      <c r="S3" s="39"/>
      <c r="T3" s="39"/>
    </row>
    <row r="4">
      <c r="A4" s="40" t="s">
        <v>69</v>
      </c>
      <c r="B4" s="41">
        <f>sum(G4:G13)</f>
        <v>645</v>
      </c>
      <c r="C4" s="42">
        <f>B4*0.3</f>
        <v>193.5</v>
      </c>
      <c r="D4" s="41">
        <f>average(H4:H13)</f>
        <v>13.6</v>
      </c>
      <c r="E4" s="43" t="s">
        <v>70</v>
      </c>
      <c r="F4" s="43" t="s">
        <v>71</v>
      </c>
      <c r="G4" s="44">
        <v>35.0</v>
      </c>
      <c r="H4" s="43">
        <v>0.0</v>
      </c>
      <c r="I4" s="45"/>
      <c r="J4" s="46"/>
      <c r="K4" s="47"/>
      <c r="L4" s="47"/>
      <c r="M4" s="47"/>
      <c r="N4" s="47"/>
      <c r="O4" s="47"/>
      <c r="P4" s="47"/>
      <c r="Q4" s="47"/>
      <c r="R4" s="47"/>
      <c r="S4" s="47"/>
      <c r="T4" s="47"/>
    </row>
    <row r="5">
      <c r="E5" s="43" t="s">
        <v>72</v>
      </c>
      <c r="F5" s="43" t="s">
        <v>71</v>
      </c>
      <c r="G5" s="44">
        <v>210.0</v>
      </c>
      <c r="H5" s="43">
        <v>0.0</v>
      </c>
      <c r="I5" s="45"/>
      <c r="K5" s="47"/>
      <c r="L5" s="47"/>
      <c r="M5" s="47"/>
      <c r="N5" s="47"/>
      <c r="O5" s="47"/>
      <c r="P5" s="47"/>
      <c r="Q5" s="47"/>
      <c r="R5" s="47"/>
      <c r="S5" s="47"/>
      <c r="T5" s="47"/>
    </row>
    <row r="6">
      <c r="E6" s="43" t="s">
        <v>73</v>
      </c>
      <c r="F6" s="48" t="s">
        <v>71</v>
      </c>
      <c r="G6" s="49">
        <v>140.0</v>
      </c>
      <c r="H6" s="43">
        <v>28.0</v>
      </c>
      <c r="I6" s="45"/>
      <c r="K6" s="47"/>
      <c r="L6" s="47"/>
      <c r="M6" s="47"/>
      <c r="N6" s="47"/>
      <c r="O6" s="47"/>
      <c r="P6" s="47"/>
      <c r="Q6" s="47"/>
      <c r="R6" s="47"/>
      <c r="S6" s="47"/>
      <c r="T6" s="47"/>
    </row>
    <row r="7">
      <c r="E7" s="43" t="s">
        <v>74</v>
      </c>
      <c r="F7" s="48" t="s">
        <v>71</v>
      </c>
      <c r="G7" s="49">
        <v>170.0</v>
      </c>
      <c r="H7" s="43">
        <v>26.0</v>
      </c>
      <c r="I7" s="45"/>
      <c r="K7" s="47"/>
      <c r="L7" s="47"/>
      <c r="M7" s="47"/>
      <c r="N7" s="47"/>
      <c r="O7" s="47"/>
      <c r="P7" s="47"/>
      <c r="Q7" s="47"/>
      <c r="R7" s="47"/>
      <c r="S7" s="47"/>
      <c r="T7" s="47"/>
    </row>
    <row r="8">
      <c r="E8" s="50" t="s">
        <v>75</v>
      </c>
      <c r="F8" s="51" t="s">
        <v>76</v>
      </c>
      <c r="G8" s="51">
        <v>20.0</v>
      </c>
      <c r="H8" s="51" t="s">
        <v>76</v>
      </c>
      <c r="I8" s="52"/>
      <c r="K8" s="47"/>
      <c r="L8" s="47"/>
      <c r="M8" s="47"/>
      <c r="N8" s="47"/>
      <c r="O8" s="47"/>
      <c r="P8" s="47"/>
      <c r="Q8" s="47"/>
      <c r="R8" s="47"/>
      <c r="S8" s="47"/>
      <c r="T8" s="47"/>
    </row>
    <row r="9">
      <c r="E9" s="50" t="s">
        <v>77</v>
      </c>
      <c r="F9" s="51" t="s">
        <v>71</v>
      </c>
      <c r="G9" s="51">
        <v>70.0</v>
      </c>
      <c r="H9" s="51">
        <v>14.0</v>
      </c>
      <c r="I9" s="52"/>
      <c r="K9" s="47"/>
      <c r="L9" s="47"/>
      <c r="M9" s="47"/>
      <c r="N9" s="47"/>
      <c r="O9" s="47"/>
      <c r="P9" s="47"/>
      <c r="Q9" s="47"/>
      <c r="R9" s="47"/>
      <c r="S9" s="47"/>
      <c r="T9" s="47"/>
    </row>
    <row r="10">
      <c r="E10" s="50" t="s">
        <v>78</v>
      </c>
      <c r="F10" s="51" t="s">
        <v>79</v>
      </c>
      <c r="G10" s="51"/>
      <c r="H10" s="51"/>
      <c r="I10" s="52"/>
      <c r="K10" s="47"/>
      <c r="L10" s="47"/>
      <c r="M10" s="47"/>
      <c r="N10" s="47"/>
      <c r="O10" s="47"/>
      <c r="P10" s="47"/>
      <c r="Q10" s="47"/>
      <c r="R10" s="47"/>
      <c r="S10" s="47"/>
      <c r="T10" s="47"/>
    </row>
    <row r="11">
      <c r="E11" s="50" t="s">
        <v>69</v>
      </c>
      <c r="F11" s="51" t="s">
        <v>79</v>
      </c>
      <c r="G11" s="51"/>
      <c r="H11" s="51"/>
      <c r="I11" s="52"/>
      <c r="K11" s="47"/>
      <c r="L11" s="47"/>
      <c r="M11" s="47"/>
      <c r="N11" s="47"/>
      <c r="O11" s="47"/>
      <c r="P11" s="47"/>
      <c r="Q11" s="47"/>
      <c r="R11" s="47"/>
      <c r="S11" s="47"/>
      <c r="T11" s="47"/>
    </row>
    <row r="12">
      <c r="E12" s="50"/>
      <c r="F12" s="51"/>
      <c r="G12" s="51"/>
      <c r="H12" s="51"/>
      <c r="I12" s="52"/>
      <c r="K12" s="47"/>
      <c r="L12" s="47"/>
      <c r="M12" s="47"/>
      <c r="N12" s="47"/>
      <c r="O12" s="47"/>
      <c r="P12" s="47"/>
      <c r="Q12" s="47"/>
      <c r="R12" s="47"/>
      <c r="S12" s="47"/>
      <c r="T12" s="47"/>
    </row>
    <row r="13">
      <c r="B13" s="53"/>
      <c r="C13" s="53"/>
      <c r="D13" s="53"/>
      <c r="E13" s="54"/>
      <c r="F13" s="55"/>
      <c r="G13" s="55"/>
      <c r="H13" s="55"/>
      <c r="I13" s="56"/>
      <c r="J13" s="53"/>
      <c r="K13" s="47"/>
      <c r="L13" s="47"/>
      <c r="M13" s="47"/>
      <c r="N13" s="47"/>
      <c r="O13" s="47"/>
      <c r="P13" s="47"/>
      <c r="Q13" s="47"/>
      <c r="R13" s="47"/>
      <c r="S13" s="47"/>
      <c r="T13" s="47"/>
    </row>
    <row r="14">
      <c r="A14" s="17" t="s">
        <v>80</v>
      </c>
      <c r="B14" s="41">
        <f>sum(G14:G23)</f>
        <v>0</v>
      </c>
      <c r="C14" s="42">
        <f>B14*0.3</f>
        <v>0</v>
      </c>
      <c r="D14" s="41" t="str">
        <f>average(H14:H23)</f>
        <v>#DIV/0!</v>
      </c>
      <c r="E14" s="50" t="s">
        <v>81</v>
      </c>
      <c r="F14" s="51" t="s">
        <v>79</v>
      </c>
      <c r="G14" s="51"/>
      <c r="H14" s="51"/>
      <c r="I14" s="52"/>
      <c r="J14" s="57" t="s">
        <v>82</v>
      </c>
      <c r="K14" s="39"/>
      <c r="L14" s="39"/>
      <c r="M14" s="39"/>
      <c r="N14" s="39"/>
      <c r="O14" s="39"/>
      <c r="P14" s="39"/>
      <c r="Q14" s="39"/>
      <c r="R14" s="39"/>
      <c r="S14" s="39"/>
      <c r="T14" s="39"/>
    </row>
    <row r="15">
      <c r="E15" s="50" t="s">
        <v>83</v>
      </c>
      <c r="F15" s="51" t="s">
        <v>79</v>
      </c>
      <c r="G15" s="51"/>
      <c r="H15" s="51"/>
      <c r="I15" s="52"/>
      <c r="K15" s="39"/>
      <c r="L15" s="39"/>
      <c r="M15" s="39"/>
      <c r="N15" s="39"/>
      <c r="O15" s="39"/>
      <c r="P15" s="39"/>
      <c r="Q15" s="39"/>
      <c r="R15" s="39"/>
      <c r="S15" s="39"/>
      <c r="T15" s="39"/>
    </row>
    <row r="16">
      <c r="E16" s="50" t="s">
        <v>84</v>
      </c>
      <c r="F16" s="51" t="s">
        <v>79</v>
      </c>
      <c r="G16" s="51"/>
      <c r="H16" s="51"/>
      <c r="I16" s="52"/>
      <c r="K16" s="39"/>
      <c r="L16" s="39"/>
      <c r="M16" s="39"/>
      <c r="N16" s="39"/>
      <c r="O16" s="39"/>
      <c r="P16" s="39"/>
      <c r="Q16" s="39"/>
      <c r="R16" s="39"/>
      <c r="S16" s="39"/>
      <c r="T16" s="39"/>
    </row>
    <row r="17">
      <c r="E17" s="50" t="s">
        <v>85</v>
      </c>
      <c r="F17" s="51" t="s">
        <v>79</v>
      </c>
      <c r="G17" s="51"/>
      <c r="H17" s="51"/>
      <c r="I17" s="52"/>
      <c r="K17" s="39"/>
      <c r="L17" s="39"/>
      <c r="M17" s="39"/>
      <c r="N17" s="39"/>
      <c r="O17" s="39"/>
      <c r="P17" s="39"/>
      <c r="Q17" s="39"/>
      <c r="R17" s="39"/>
      <c r="S17" s="39"/>
      <c r="T17" s="39"/>
    </row>
    <row r="18">
      <c r="E18" s="50"/>
      <c r="F18" s="51"/>
      <c r="G18" s="51"/>
      <c r="H18" s="51"/>
      <c r="I18" s="52"/>
      <c r="K18" s="39"/>
      <c r="L18" s="39"/>
      <c r="M18" s="39"/>
      <c r="N18" s="39"/>
      <c r="O18" s="39"/>
      <c r="P18" s="39"/>
      <c r="Q18" s="39"/>
      <c r="R18" s="39"/>
      <c r="S18" s="39"/>
      <c r="T18" s="39"/>
    </row>
    <row r="19">
      <c r="E19" s="50"/>
      <c r="F19" s="51"/>
      <c r="G19" s="51"/>
      <c r="H19" s="51"/>
      <c r="I19" s="52"/>
      <c r="K19" s="39"/>
      <c r="L19" s="39"/>
      <c r="M19" s="39"/>
      <c r="N19" s="39"/>
      <c r="O19" s="39"/>
      <c r="P19" s="39"/>
      <c r="Q19" s="39"/>
      <c r="R19" s="39"/>
      <c r="S19" s="39"/>
      <c r="T19" s="39"/>
    </row>
    <row r="20">
      <c r="E20" s="50"/>
      <c r="F20" s="51"/>
      <c r="G20" s="51"/>
      <c r="H20" s="51"/>
      <c r="I20" s="52"/>
      <c r="K20" s="39"/>
      <c r="L20" s="39"/>
      <c r="M20" s="39"/>
      <c r="N20" s="39"/>
      <c r="O20" s="39"/>
      <c r="P20" s="39"/>
      <c r="Q20" s="39"/>
      <c r="R20" s="39"/>
      <c r="S20" s="39"/>
      <c r="T20" s="39"/>
    </row>
    <row r="21">
      <c r="E21" s="50"/>
      <c r="F21" s="51"/>
      <c r="G21" s="51"/>
      <c r="H21" s="51"/>
      <c r="I21" s="52"/>
      <c r="K21" s="39"/>
      <c r="L21" s="39"/>
      <c r="M21" s="39"/>
      <c r="N21" s="39"/>
      <c r="O21" s="39"/>
      <c r="P21" s="39"/>
      <c r="Q21" s="39"/>
      <c r="R21" s="39"/>
      <c r="S21" s="39"/>
      <c r="T21" s="39"/>
    </row>
    <row r="22">
      <c r="E22" s="50"/>
      <c r="F22" s="51"/>
      <c r="G22" s="51"/>
      <c r="H22" s="51"/>
      <c r="I22" s="52"/>
      <c r="K22" s="39"/>
      <c r="L22" s="39"/>
      <c r="M22" s="39"/>
      <c r="N22" s="39"/>
      <c r="O22" s="39"/>
      <c r="P22" s="39"/>
      <c r="Q22" s="39"/>
      <c r="R22" s="39"/>
      <c r="S22" s="39"/>
      <c r="T22" s="39"/>
    </row>
    <row r="23">
      <c r="B23" s="53"/>
      <c r="C23" s="53"/>
      <c r="D23" s="53"/>
      <c r="E23" s="54"/>
      <c r="F23" s="55"/>
      <c r="G23" s="55"/>
      <c r="H23" s="55"/>
      <c r="I23" s="56"/>
      <c r="J23" s="53"/>
      <c r="K23" s="39"/>
      <c r="L23" s="39"/>
      <c r="M23" s="39"/>
      <c r="N23" s="39"/>
      <c r="O23" s="39"/>
      <c r="P23" s="39"/>
      <c r="Q23" s="39"/>
      <c r="R23" s="39"/>
      <c r="S23" s="39"/>
      <c r="T23" s="39"/>
    </row>
    <row r="24">
      <c r="A24" s="58"/>
      <c r="B24" s="41">
        <f>sum(G24:G33)</f>
        <v>0</v>
      </c>
      <c r="C24" s="42">
        <f>B24*0.3</f>
        <v>0</v>
      </c>
      <c r="D24" s="41" t="str">
        <f>average(H24:H33)</f>
        <v>#DIV/0!</v>
      </c>
      <c r="E24" s="50"/>
      <c r="F24" s="51"/>
      <c r="G24" s="51"/>
      <c r="H24" s="51"/>
      <c r="I24" s="52"/>
      <c r="J24" s="59"/>
      <c r="K24" s="47"/>
      <c r="L24" s="47"/>
      <c r="M24" s="47"/>
      <c r="N24" s="47"/>
      <c r="O24" s="47"/>
      <c r="P24" s="47"/>
      <c r="Q24" s="47"/>
      <c r="R24" s="47"/>
      <c r="S24" s="47"/>
      <c r="T24" s="47"/>
    </row>
    <row r="25">
      <c r="E25" s="50"/>
      <c r="F25" s="51"/>
      <c r="G25" s="51"/>
      <c r="H25" s="51"/>
      <c r="I25" s="52"/>
      <c r="K25" s="47"/>
      <c r="L25" s="47"/>
      <c r="M25" s="47"/>
      <c r="N25" s="47"/>
      <c r="O25" s="47"/>
      <c r="P25" s="47"/>
      <c r="Q25" s="47"/>
      <c r="R25" s="47"/>
      <c r="S25" s="47"/>
      <c r="T25" s="47"/>
    </row>
    <row r="26">
      <c r="E26" s="50"/>
      <c r="F26" s="51"/>
      <c r="G26" s="51"/>
      <c r="H26" s="51"/>
      <c r="I26" s="52"/>
      <c r="K26" s="47"/>
      <c r="L26" s="47"/>
      <c r="M26" s="47"/>
      <c r="N26" s="47"/>
      <c r="O26" s="47"/>
      <c r="P26" s="47"/>
      <c r="Q26" s="47"/>
      <c r="R26" s="47"/>
      <c r="S26" s="47"/>
      <c r="T26" s="47"/>
    </row>
    <row r="27">
      <c r="E27" s="50"/>
      <c r="F27" s="51"/>
      <c r="G27" s="51"/>
      <c r="H27" s="51"/>
      <c r="I27" s="52"/>
      <c r="K27" s="47"/>
      <c r="L27" s="47"/>
      <c r="M27" s="47"/>
      <c r="N27" s="47"/>
      <c r="O27" s="47"/>
      <c r="P27" s="47"/>
      <c r="Q27" s="47"/>
      <c r="R27" s="47"/>
      <c r="S27" s="47"/>
      <c r="T27" s="47"/>
    </row>
    <row r="28">
      <c r="E28" s="50"/>
      <c r="F28" s="51"/>
      <c r="G28" s="51"/>
      <c r="H28" s="51"/>
      <c r="I28" s="52"/>
      <c r="K28" s="47"/>
      <c r="L28" s="47"/>
      <c r="M28" s="47"/>
      <c r="N28" s="47"/>
      <c r="O28" s="47"/>
      <c r="P28" s="47"/>
      <c r="Q28" s="47"/>
      <c r="R28" s="47"/>
      <c r="S28" s="47"/>
      <c r="T28" s="47"/>
    </row>
    <row r="29">
      <c r="E29" s="50"/>
      <c r="F29" s="51"/>
      <c r="G29" s="51"/>
      <c r="H29" s="51"/>
      <c r="I29" s="52"/>
      <c r="K29" s="47"/>
      <c r="L29" s="47"/>
      <c r="M29" s="47"/>
      <c r="N29" s="47"/>
      <c r="O29" s="47"/>
      <c r="P29" s="47"/>
      <c r="Q29" s="47"/>
      <c r="R29" s="47"/>
      <c r="S29" s="47"/>
      <c r="T29" s="47"/>
    </row>
    <row r="30">
      <c r="E30" s="50"/>
      <c r="F30" s="51"/>
      <c r="G30" s="51"/>
      <c r="H30" s="51"/>
      <c r="I30" s="52"/>
      <c r="K30" s="47"/>
      <c r="L30" s="47"/>
      <c r="M30" s="47"/>
      <c r="N30" s="47"/>
      <c r="O30" s="47"/>
      <c r="P30" s="47"/>
      <c r="Q30" s="47"/>
      <c r="R30" s="47"/>
      <c r="S30" s="47"/>
      <c r="T30" s="47"/>
    </row>
    <row r="31">
      <c r="E31" s="50"/>
      <c r="F31" s="51"/>
      <c r="G31" s="51"/>
      <c r="H31" s="51"/>
      <c r="I31" s="52"/>
      <c r="K31" s="47"/>
      <c r="L31" s="47"/>
      <c r="M31" s="47"/>
      <c r="N31" s="47"/>
      <c r="O31" s="47"/>
      <c r="P31" s="47"/>
      <c r="Q31" s="47"/>
      <c r="R31" s="47"/>
      <c r="S31" s="47"/>
      <c r="T31" s="47"/>
    </row>
    <row r="32">
      <c r="E32" s="50"/>
      <c r="F32" s="51"/>
      <c r="G32" s="51"/>
      <c r="H32" s="51"/>
      <c r="I32" s="52"/>
      <c r="K32" s="47"/>
      <c r="L32" s="47"/>
      <c r="M32" s="47"/>
      <c r="N32" s="47"/>
      <c r="O32" s="47"/>
      <c r="P32" s="47"/>
      <c r="Q32" s="47"/>
      <c r="R32" s="47"/>
      <c r="S32" s="47"/>
      <c r="T32" s="47"/>
    </row>
    <row r="33">
      <c r="B33" s="53"/>
      <c r="C33" s="53"/>
      <c r="D33" s="53"/>
      <c r="E33" s="54"/>
      <c r="F33" s="55"/>
      <c r="G33" s="55"/>
      <c r="H33" s="55"/>
      <c r="I33" s="56"/>
      <c r="J33" s="53"/>
      <c r="K33" s="47"/>
      <c r="L33" s="47"/>
      <c r="M33" s="47"/>
      <c r="N33" s="47"/>
      <c r="O33" s="47"/>
      <c r="P33" s="47"/>
      <c r="Q33" s="47"/>
      <c r="R33" s="47"/>
      <c r="S33" s="47"/>
      <c r="T33" s="47"/>
    </row>
    <row r="34">
      <c r="A34" s="58"/>
      <c r="B34" s="41">
        <f>sum(G34:G43)</f>
        <v>0</v>
      </c>
      <c r="C34" s="42">
        <f>B34*0.3</f>
        <v>0</v>
      </c>
      <c r="D34" s="41" t="str">
        <f>average(H34:H43)</f>
        <v>#DIV/0!</v>
      </c>
      <c r="E34" s="60"/>
      <c r="F34" s="61"/>
      <c r="G34" s="61"/>
      <c r="H34" s="61"/>
      <c r="I34" s="62"/>
      <c r="J34" s="59"/>
      <c r="K34" s="47"/>
      <c r="L34" s="47"/>
      <c r="M34" s="47"/>
      <c r="N34" s="47"/>
      <c r="O34" s="47"/>
      <c r="P34" s="47"/>
      <c r="Q34" s="47"/>
      <c r="R34" s="47"/>
      <c r="S34" s="47"/>
      <c r="T34" s="47"/>
    </row>
    <row r="35">
      <c r="E35" s="60"/>
      <c r="F35" s="61"/>
      <c r="G35" s="61"/>
      <c r="H35" s="61"/>
      <c r="I35" s="62"/>
      <c r="K35" s="47"/>
      <c r="L35" s="47"/>
      <c r="M35" s="47"/>
      <c r="N35" s="47"/>
      <c r="O35" s="47"/>
      <c r="P35" s="47"/>
      <c r="Q35" s="47"/>
      <c r="R35" s="47"/>
      <c r="S35" s="47"/>
      <c r="T35" s="47"/>
    </row>
    <row r="36">
      <c r="E36" s="60"/>
      <c r="F36" s="61"/>
      <c r="G36" s="61"/>
      <c r="H36" s="61"/>
      <c r="I36" s="62"/>
      <c r="K36" s="47"/>
      <c r="L36" s="47"/>
      <c r="M36" s="47"/>
      <c r="N36" s="47"/>
      <c r="O36" s="47"/>
      <c r="P36" s="47"/>
      <c r="Q36" s="47"/>
      <c r="R36" s="47"/>
      <c r="S36" s="47"/>
      <c r="T36" s="47"/>
    </row>
    <row r="37">
      <c r="E37" s="60"/>
      <c r="F37" s="61"/>
      <c r="G37" s="61"/>
      <c r="H37" s="61"/>
      <c r="I37" s="62"/>
      <c r="K37" s="47"/>
      <c r="L37" s="47"/>
      <c r="M37" s="47"/>
      <c r="N37" s="47"/>
      <c r="O37" s="47"/>
      <c r="P37" s="47"/>
      <c r="Q37" s="47"/>
      <c r="R37" s="47"/>
      <c r="S37" s="47"/>
      <c r="T37" s="47"/>
    </row>
    <row r="38">
      <c r="E38" s="60"/>
      <c r="F38" s="61"/>
      <c r="G38" s="61"/>
      <c r="H38" s="61"/>
      <c r="I38" s="62"/>
      <c r="K38" s="47"/>
      <c r="L38" s="47"/>
      <c r="M38" s="47"/>
      <c r="N38" s="47"/>
      <c r="O38" s="47"/>
      <c r="P38" s="47"/>
      <c r="Q38" s="47"/>
      <c r="R38" s="47"/>
      <c r="S38" s="47"/>
      <c r="T38" s="47"/>
    </row>
    <row r="39">
      <c r="E39" s="60"/>
      <c r="F39" s="61"/>
      <c r="G39" s="61"/>
      <c r="H39" s="61"/>
      <c r="I39" s="62"/>
      <c r="K39" s="47"/>
      <c r="L39" s="47"/>
      <c r="M39" s="47"/>
      <c r="N39" s="47"/>
      <c r="O39" s="47"/>
      <c r="P39" s="47"/>
      <c r="Q39" s="47"/>
      <c r="R39" s="47"/>
      <c r="S39" s="47"/>
      <c r="T39" s="47"/>
    </row>
    <row r="40">
      <c r="E40" s="60"/>
      <c r="F40" s="61"/>
      <c r="G40" s="61"/>
      <c r="H40" s="61"/>
      <c r="I40" s="62"/>
      <c r="K40" s="47"/>
      <c r="L40" s="47"/>
      <c r="M40" s="47"/>
      <c r="N40" s="47"/>
      <c r="O40" s="47"/>
      <c r="P40" s="47"/>
      <c r="Q40" s="47"/>
      <c r="R40" s="47"/>
      <c r="S40" s="47"/>
      <c r="T40" s="47"/>
    </row>
    <row r="41">
      <c r="E41" s="60"/>
      <c r="F41" s="61"/>
      <c r="G41" s="61"/>
      <c r="H41" s="61"/>
      <c r="I41" s="62"/>
      <c r="K41" s="47"/>
      <c r="L41" s="47"/>
      <c r="M41" s="47"/>
      <c r="N41" s="47"/>
      <c r="O41" s="47"/>
      <c r="P41" s="47"/>
      <c r="Q41" s="47"/>
      <c r="R41" s="47"/>
      <c r="S41" s="47"/>
      <c r="T41" s="47"/>
    </row>
    <row r="42">
      <c r="E42" s="60"/>
      <c r="F42" s="61"/>
      <c r="G42" s="61"/>
      <c r="H42" s="61"/>
      <c r="I42" s="62"/>
      <c r="K42" s="47"/>
      <c r="L42" s="47"/>
      <c r="M42" s="47"/>
      <c r="N42" s="47"/>
      <c r="O42" s="47"/>
      <c r="P42" s="47"/>
      <c r="Q42" s="47"/>
      <c r="R42" s="47"/>
      <c r="S42" s="47"/>
      <c r="T42" s="47"/>
    </row>
    <row r="43">
      <c r="B43" s="53"/>
      <c r="C43" s="53"/>
      <c r="D43" s="53"/>
      <c r="E43" s="63"/>
      <c r="F43" s="64"/>
      <c r="G43" s="64"/>
      <c r="H43" s="64"/>
      <c r="I43" s="65"/>
      <c r="J43" s="53"/>
      <c r="K43" s="47"/>
      <c r="L43" s="47"/>
      <c r="M43" s="47"/>
      <c r="N43" s="47"/>
      <c r="O43" s="47"/>
      <c r="P43" s="47"/>
      <c r="Q43" s="47"/>
      <c r="R43" s="47"/>
      <c r="S43" s="47"/>
      <c r="T43" s="47"/>
    </row>
    <row r="44">
      <c r="A44" s="58"/>
      <c r="B44" s="41">
        <f>sum(G44:G53)</f>
        <v>0</v>
      </c>
      <c r="C44" s="42">
        <f>B44*0.3</f>
        <v>0</v>
      </c>
      <c r="D44" s="41" t="str">
        <f>average(H44:H53)</f>
        <v>#DIV/0!</v>
      </c>
      <c r="E44" s="60"/>
      <c r="F44" s="61"/>
      <c r="G44" s="61"/>
      <c r="H44" s="61"/>
      <c r="I44" s="62"/>
      <c r="J44" s="59"/>
      <c r="K44" s="47"/>
      <c r="L44" s="47"/>
      <c r="M44" s="47"/>
      <c r="N44" s="47"/>
      <c r="O44" s="47"/>
      <c r="P44" s="47"/>
      <c r="Q44" s="47"/>
      <c r="R44" s="47"/>
      <c r="S44" s="47"/>
      <c r="T44" s="47"/>
    </row>
    <row r="45">
      <c r="E45" s="60"/>
      <c r="F45" s="61"/>
      <c r="G45" s="61"/>
      <c r="H45" s="61"/>
      <c r="I45" s="62"/>
      <c r="K45" s="47"/>
      <c r="L45" s="47"/>
      <c r="M45" s="47"/>
      <c r="N45" s="47"/>
      <c r="O45" s="47"/>
      <c r="P45" s="47"/>
      <c r="Q45" s="47"/>
      <c r="R45" s="47"/>
      <c r="S45" s="47"/>
      <c r="T45" s="47"/>
    </row>
    <row r="46">
      <c r="E46" s="60"/>
      <c r="F46" s="61"/>
      <c r="G46" s="61"/>
      <c r="H46" s="61"/>
      <c r="I46" s="62"/>
      <c r="K46" s="47"/>
      <c r="L46" s="47"/>
      <c r="M46" s="47"/>
      <c r="N46" s="47"/>
      <c r="O46" s="47"/>
      <c r="P46" s="47"/>
      <c r="Q46" s="47"/>
      <c r="R46" s="47"/>
      <c r="S46" s="47"/>
      <c r="T46" s="47"/>
    </row>
    <row r="47">
      <c r="E47" s="60"/>
      <c r="F47" s="61"/>
      <c r="G47" s="61"/>
      <c r="H47" s="61"/>
      <c r="I47" s="62"/>
      <c r="K47" s="47"/>
      <c r="L47" s="47"/>
      <c r="M47" s="47"/>
      <c r="N47" s="47"/>
      <c r="O47" s="47"/>
      <c r="P47" s="47"/>
      <c r="Q47" s="47"/>
      <c r="R47" s="47"/>
      <c r="S47" s="47"/>
      <c r="T47" s="47"/>
    </row>
    <row r="48">
      <c r="E48" s="60"/>
      <c r="F48" s="61"/>
      <c r="G48" s="61"/>
      <c r="H48" s="61"/>
      <c r="I48" s="62"/>
      <c r="K48" s="47"/>
      <c r="L48" s="47"/>
      <c r="M48" s="47"/>
      <c r="N48" s="47"/>
      <c r="O48" s="47"/>
      <c r="P48" s="47"/>
      <c r="Q48" s="47"/>
      <c r="R48" s="47"/>
      <c r="S48" s="47"/>
      <c r="T48" s="47"/>
    </row>
    <row r="49">
      <c r="E49" s="60"/>
      <c r="F49" s="61"/>
      <c r="G49" s="61"/>
      <c r="H49" s="61"/>
      <c r="I49" s="62"/>
      <c r="K49" s="47"/>
      <c r="L49" s="47"/>
      <c r="M49" s="47"/>
      <c r="N49" s="47"/>
      <c r="O49" s="47"/>
      <c r="P49" s="47"/>
      <c r="Q49" s="47"/>
      <c r="R49" s="47"/>
      <c r="S49" s="47"/>
      <c r="T49" s="47"/>
    </row>
    <row r="50">
      <c r="E50" s="60"/>
      <c r="F50" s="61"/>
      <c r="G50" s="61"/>
      <c r="H50" s="61"/>
      <c r="I50" s="62"/>
      <c r="K50" s="47"/>
      <c r="L50" s="47"/>
      <c r="M50" s="47"/>
      <c r="N50" s="47"/>
      <c r="O50" s="47"/>
      <c r="P50" s="47"/>
      <c r="Q50" s="47"/>
      <c r="R50" s="47"/>
      <c r="S50" s="47"/>
      <c r="T50" s="47"/>
    </row>
    <row r="51">
      <c r="E51" s="60"/>
      <c r="F51" s="61"/>
      <c r="G51" s="61"/>
      <c r="H51" s="61"/>
      <c r="I51" s="62"/>
      <c r="K51" s="47"/>
      <c r="L51" s="47"/>
      <c r="M51" s="47"/>
      <c r="N51" s="47"/>
      <c r="O51" s="47"/>
      <c r="P51" s="47"/>
      <c r="Q51" s="47"/>
      <c r="R51" s="47"/>
      <c r="S51" s="47"/>
      <c r="T51" s="47"/>
    </row>
    <row r="52">
      <c r="E52" s="60"/>
      <c r="F52" s="61"/>
      <c r="G52" s="61"/>
      <c r="H52" s="61"/>
      <c r="I52" s="62"/>
      <c r="K52" s="47"/>
      <c r="L52" s="47"/>
      <c r="M52" s="47"/>
      <c r="N52" s="47"/>
      <c r="O52" s="47"/>
      <c r="P52" s="47"/>
      <c r="Q52" s="47"/>
      <c r="R52" s="47"/>
      <c r="S52" s="47"/>
      <c r="T52" s="47"/>
    </row>
    <row r="53">
      <c r="B53" s="53"/>
      <c r="C53" s="53"/>
      <c r="D53" s="53"/>
      <c r="E53" s="63"/>
      <c r="F53" s="64"/>
      <c r="G53" s="64"/>
      <c r="H53" s="64"/>
      <c r="I53" s="65"/>
      <c r="J53" s="53"/>
      <c r="K53" s="47"/>
      <c r="L53" s="47"/>
      <c r="M53" s="47"/>
      <c r="N53" s="47"/>
      <c r="O53" s="47"/>
      <c r="P53" s="47"/>
      <c r="Q53" s="47"/>
      <c r="R53" s="47"/>
      <c r="S53" s="47"/>
      <c r="T53" s="47"/>
    </row>
    <row r="54">
      <c r="A54" s="66"/>
      <c r="B54" s="41">
        <f>sum(G54:G63)</f>
        <v>0</v>
      </c>
      <c r="C54" s="42">
        <f>B54*0.3</f>
        <v>0</v>
      </c>
      <c r="D54" s="41" t="str">
        <f>average(H54:H63)</f>
        <v>#DIV/0!</v>
      </c>
      <c r="E54" s="60"/>
      <c r="F54" s="61"/>
      <c r="G54" s="61"/>
      <c r="H54" s="61"/>
      <c r="I54" s="62"/>
      <c r="J54" s="59"/>
      <c r="K54" s="47"/>
      <c r="L54" s="47"/>
      <c r="M54" s="47"/>
      <c r="N54" s="47"/>
      <c r="O54" s="47"/>
      <c r="P54" s="47"/>
      <c r="Q54" s="47"/>
      <c r="R54" s="47"/>
      <c r="S54" s="47"/>
      <c r="T54" s="47"/>
    </row>
    <row r="55">
      <c r="E55" s="60"/>
      <c r="F55" s="61"/>
      <c r="G55" s="61"/>
      <c r="H55" s="61"/>
      <c r="I55" s="62"/>
      <c r="K55" s="47"/>
      <c r="L55" s="47"/>
      <c r="M55" s="47"/>
      <c r="N55" s="47"/>
      <c r="O55" s="47"/>
      <c r="P55" s="47"/>
      <c r="Q55" s="47"/>
      <c r="R55" s="47"/>
      <c r="S55" s="47"/>
      <c r="T55" s="47"/>
    </row>
    <row r="56">
      <c r="E56" s="60"/>
      <c r="F56" s="61"/>
      <c r="G56" s="61"/>
      <c r="H56" s="61"/>
      <c r="I56" s="62"/>
      <c r="K56" s="47"/>
      <c r="L56" s="47"/>
      <c r="M56" s="47"/>
      <c r="N56" s="47"/>
      <c r="O56" s="47"/>
      <c r="P56" s="47"/>
      <c r="Q56" s="47"/>
      <c r="R56" s="47"/>
      <c r="S56" s="47"/>
      <c r="T56" s="47"/>
    </row>
    <row r="57">
      <c r="E57" s="60"/>
      <c r="F57" s="61"/>
      <c r="G57" s="61"/>
      <c r="H57" s="61"/>
      <c r="I57" s="62"/>
      <c r="K57" s="47"/>
      <c r="L57" s="47"/>
      <c r="M57" s="47"/>
      <c r="N57" s="47"/>
      <c r="O57" s="47"/>
      <c r="P57" s="47"/>
      <c r="Q57" s="47"/>
      <c r="R57" s="47"/>
      <c r="S57" s="47"/>
      <c r="T57" s="47"/>
    </row>
    <row r="58">
      <c r="E58" s="60"/>
      <c r="F58" s="61"/>
      <c r="G58" s="61"/>
      <c r="H58" s="61"/>
      <c r="I58" s="62"/>
      <c r="K58" s="47"/>
      <c r="L58" s="47"/>
      <c r="M58" s="47"/>
      <c r="N58" s="47"/>
      <c r="O58" s="47"/>
      <c r="P58" s="47"/>
      <c r="Q58" s="47"/>
      <c r="R58" s="47"/>
      <c r="S58" s="47"/>
      <c r="T58" s="47"/>
    </row>
    <row r="59">
      <c r="E59" s="60"/>
      <c r="F59" s="61"/>
      <c r="G59" s="61"/>
      <c r="H59" s="61"/>
      <c r="I59" s="62"/>
      <c r="K59" s="47"/>
      <c r="L59" s="47"/>
      <c r="M59" s="47"/>
      <c r="N59" s="47"/>
      <c r="O59" s="47"/>
      <c r="P59" s="47"/>
      <c r="Q59" s="47"/>
      <c r="R59" s="47"/>
      <c r="S59" s="47"/>
      <c r="T59" s="47"/>
    </row>
    <row r="60">
      <c r="E60" s="60"/>
      <c r="F60" s="61"/>
      <c r="G60" s="61"/>
      <c r="H60" s="61"/>
      <c r="I60" s="62"/>
      <c r="K60" s="47"/>
      <c r="L60" s="47"/>
      <c r="M60" s="47"/>
      <c r="N60" s="47"/>
      <c r="O60" s="47"/>
      <c r="P60" s="47"/>
      <c r="Q60" s="47"/>
      <c r="R60" s="47"/>
      <c r="S60" s="47"/>
      <c r="T60" s="47"/>
    </row>
    <row r="61">
      <c r="E61" s="60"/>
      <c r="F61" s="61"/>
      <c r="G61" s="61"/>
      <c r="H61" s="61"/>
      <c r="I61" s="62"/>
      <c r="K61" s="47"/>
      <c r="L61" s="47"/>
      <c r="M61" s="47"/>
      <c r="N61" s="47"/>
      <c r="O61" s="47"/>
      <c r="P61" s="47"/>
      <c r="Q61" s="47"/>
      <c r="R61" s="47"/>
      <c r="S61" s="47"/>
      <c r="T61" s="47"/>
    </row>
    <row r="62">
      <c r="E62" s="60"/>
      <c r="F62" s="61"/>
      <c r="G62" s="61"/>
      <c r="H62" s="61"/>
      <c r="I62" s="62"/>
      <c r="K62" s="47"/>
      <c r="L62" s="47"/>
      <c r="M62" s="47"/>
      <c r="N62" s="47"/>
      <c r="O62" s="47"/>
      <c r="P62" s="47"/>
      <c r="Q62" s="47"/>
      <c r="R62" s="47"/>
      <c r="S62" s="47"/>
      <c r="T62" s="47"/>
    </row>
    <row r="63">
      <c r="A63" s="53"/>
      <c r="B63" s="53"/>
      <c r="C63" s="53"/>
      <c r="D63" s="53"/>
      <c r="E63" s="63"/>
      <c r="F63" s="64"/>
      <c r="G63" s="64"/>
      <c r="H63" s="64"/>
      <c r="I63" s="65"/>
      <c r="J63" s="53"/>
      <c r="K63" s="47"/>
      <c r="L63" s="47"/>
      <c r="M63" s="47"/>
      <c r="N63" s="47"/>
      <c r="O63" s="47"/>
      <c r="P63" s="47"/>
      <c r="Q63" s="47"/>
      <c r="R63" s="47"/>
      <c r="S63" s="47"/>
      <c r="T63" s="47"/>
    </row>
    <row r="64">
      <c r="A64" s="66"/>
      <c r="B64" s="41">
        <f>sum(G64:G73)</f>
        <v>0</v>
      </c>
      <c r="C64" s="42">
        <f>B64*0.3</f>
        <v>0</v>
      </c>
      <c r="D64" s="41" t="str">
        <f>average(H64:H73)</f>
        <v>#DIV/0!</v>
      </c>
      <c r="E64" s="60"/>
      <c r="F64" s="61"/>
      <c r="G64" s="61"/>
      <c r="H64" s="61"/>
      <c r="I64" s="62"/>
      <c r="J64" s="59"/>
      <c r="K64" s="47"/>
      <c r="L64" s="47"/>
      <c r="M64" s="47"/>
      <c r="N64" s="47"/>
      <c r="O64" s="47"/>
      <c r="P64" s="47"/>
      <c r="Q64" s="47"/>
      <c r="R64" s="47"/>
      <c r="S64" s="47"/>
      <c r="T64" s="47"/>
    </row>
    <row r="65">
      <c r="E65" s="60"/>
      <c r="F65" s="61"/>
      <c r="G65" s="61"/>
      <c r="H65" s="61"/>
      <c r="I65" s="62"/>
      <c r="K65" s="47"/>
      <c r="L65" s="47"/>
      <c r="M65" s="47"/>
      <c r="N65" s="47"/>
      <c r="O65" s="47"/>
      <c r="P65" s="47"/>
      <c r="Q65" s="47"/>
      <c r="R65" s="47"/>
      <c r="S65" s="47"/>
      <c r="T65" s="47"/>
    </row>
    <row r="66">
      <c r="E66" s="60"/>
      <c r="F66" s="61"/>
      <c r="G66" s="61"/>
      <c r="H66" s="61"/>
      <c r="I66" s="62"/>
      <c r="K66" s="47"/>
      <c r="L66" s="47"/>
      <c r="M66" s="47"/>
      <c r="N66" s="47"/>
      <c r="O66" s="47"/>
      <c r="P66" s="47"/>
      <c r="Q66" s="47"/>
      <c r="R66" s="47"/>
      <c r="S66" s="47"/>
      <c r="T66" s="47"/>
    </row>
    <row r="67">
      <c r="E67" s="60"/>
      <c r="F67" s="61"/>
      <c r="G67" s="61"/>
      <c r="H67" s="61"/>
      <c r="I67" s="62"/>
      <c r="K67" s="47"/>
      <c r="L67" s="47"/>
      <c r="M67" s="47"/>
      <c r="N67" s="47"/>
      <c r="O67" s="47"/>
      <c r="P67" s="47"/>
      <c r="Q67" s="47"/>
      <c r="R67" s="47"/>
      <c r="S67" s="47"/>
      <c r="T67" s="47"/>
    </row>
    <row r="68">
      <c r="E68" s="60"/>
      <c r="F68" s="61"/>
      <c r="G68" s="61"/>
      <c r="H68" s="61"/>
      <c r="I68" s="62"/>
      <c r="K68" s="47"/>
      <c r="L68" s="47"/>
      <c r="M68" s="47"/>
      <c r="N68" s="47"/>
      <c r="O68" s="47"/>
      <c r="P68" s="47"/>
      <c r="Q68" s="47"/>
      <c r="R68" s="47"/>
      <c r="S68" s="47"/>
      <c r="T68" s="47"/>
    </row>
    <row r="69">
      <c r="E69" s="60"/>
      <c r="F69" s="61"/>
      <c r="G69" s="61"/>
      <c r="H69" s="61"/>
      <c r="I69" s="62"/>
      <c r="K69" s="47"/>
      <c r="L69" s="47"/>
      <c r="M69" s="47"/>
      <c r="N69" s="47"/>
      <c r="O69" s="47"/>
      <c r="P69" s="47"/>
      <c r="Q69" s="47"/>
      <c r="R69" s="47"/>
      <c r="S69" s="47"/>
      <c r="T69" s="47"/>
    </row>
    <row r="70">
      <c r="E70" s="60"/>
      <c r="F70" s="61"/>
      <c r="G70" s="61"/>
      <c r="H70" s="61"/>
      <c r="I70" s="62"/>
      <c r="K70" s="47"/>
      <c r="L70" s="47"/>
      <c r="M70" s="47"/>
      <c r="N70" s="47"/>
      <c r="O70" s="47"/>
      <c r="P70" s="47"/>
      <c r="Q70" s="47"/>
      <c r="R70" s="47"/>
      <c r="S70" s="47"/>
      <c r="T70" s="47"/>
    </row>
    <row r="71">
      <c r="E71" s="60"/>
      <c r="F71" s="61"/>
      <c r="G71" s="61"/>
      <c r="H71" s="61"/>
      <c r="I71" s="62"/>
      <c r="K71" s="47"/>
      <c r="L71" s="47"/>
      <c r="M71" s="47"/>
      <c r="N71" s="47"/>
      <c r="O71" s="47"/>
      <c r="P71" s="47"/>
      <c r="Q71" s="47"/>
      <c r="R71" s="47"/>
      <c r="S71" s="47"/>
      <c r="T71" s="47"/>
    </row>
    <row r="72">
      <c r="E72" s="60"/>
      <c r="F72" s="61"/>
      <c r="G72" s="61"/>
      <c r="H72" s="61"/>
      <c r="I72" s="62"/>
      <c r="K72" s="47"/>
      <c r="L72" s="47"/>
      <c r="M72" s="47"/>
      <c r="N72" s="47"/>
      <c r="O72" s="47"/>
      <c r="P72" s="47"/>
      <c r="Q72" s="47"/>
      <c r="R72" s="47"/>
      <c r="S72" s="47"/>
      <c r="T72" s="47"/>
    </row>
    <row r="73">
      <c r="A73" s="53"/>
      <c r="B73" s="53"/>
      <c r="C73" s="53"/>
      <c r="D73" s="53"/>
      <c r="E73" s="63"/>
      <c r="F73" s="64"/>
      <c r="G73" s="64"/>
      <c r="H73" s="64"/>
      <c r="I73" s="65"/>
      <c r="J73" s="53"/>
      <c r="K73" s="47"/>
      <c r="L73" s="47"/>
      <c r="M73" s="47"/>
      <c r="N73" s="47"/>
      <c r="O73" s="47"/>
      <c r="P73" s="47"/>
      <c r="Q73" s="47"/>
      <c r="R73" s="47"/>
      <c r="S73" s="47"/>
      <c r="T73" s="47"/>
    </row>
    <row r="74">
      <c r="A74" s="66"/>
      <c r="B74" s="41">
        <f>sum(G74:G83)</f>
        <v>0</v>
      </c>
      <c r="C74" s="42">
        <f>B74*0.3</f>
        <v>0</v>
      </c>
      <c r="D74" s="41" t="str">
        <f>average(H74:H83)</f>
        <v>#DIV/0!</v>
      </c>
      <c r="E74" s="60"/>
      <c r="F74" s="61"/>
      <c r="G74" s="61"/>
      <c r="H74" s="61"/>
      <c r="I74" s="62"/>
      <c r="J74" s="59"/>
      <c r="K74" s="47"/>
      <c r="L74" s="47"/>
      <c r="M74" s="47"/>
      <c r="N74" s="47"/>
      <c r="O74" s="47"/>
      <c r="P74" s="47"/>
      <c r="Q74" s="47"/>
      <c r="R74" s="47"/>
      <c r="S74" s="47"/>
      <c r="T74" s="47"/>
    </row>
    <row r="75">
      <c r="E75" s="60"/>
      <c r="F75" s="61"/>
      <c r="G75" s="61"/>
      <c r="H75" s="61"/>
      <c r="I75" s="62"/>
      <c r="K75" s="47"/>
      <c r="L75" s="47"/>
      <c r="M75" s="47"/>
      <c r="N75" s="47"/>
      <c r="O75" s="47"/>
      <c r="P75" s="47"/>
      <c r="Q75" s="47"/>
      <c r="R75" s="47"/>
      <c r="S75" s="47"/>
      <c r="T75" s="47"/>
    </row>
    <row r="76">
      <c r="E76" s="60"/>
      <c r="F76" s="61"/>
      <c r="G76" s="61"/>
      <c r="H76" s="61"/>
      <c r="I76" s="62"/>
      <c r="K76" s="47"/>
      <c r="L76" s="47"/>
      <c r="M76" s="47"/>
      <c r="N76" s="47"/>
      <c r="O76" s="47"/>
      <c r="P76" s="47"/>
      <c r="Q76" s="47"/>
      <c r="R76" s="47"/>
      <c r="S76" s="47"/>
      <c r="T76" s="47"/>
    </row>
    <row r="77">
      <c r="E77" s="60"/>
      <c r="F77" s="61"/>
      <c r="G77" s="61"/>
      <c r="H77" s="61"/>
      <c r="I77" s="62"/>
      <c r="K77" s="47"/>
      <c r="L77" s="47"/>
      <c r="M77" s="47"/>
      <c r="N77" s="47"/>
      <c r="O77" s="47"/>
      <c r="P77" s="47"/>
      <c r="Q77" s="47"/>
      <c r="R77" s="47"/>
      <c r="S77" s="47"/>
      <c r="T77" s="47"/>
    </row>
    <row r="78">
      <c r="E78" s="60"/>
      <c r="F78" s="61"/>
      <c r="G78" s="61"/>
      <c r="H78" s="61"/>
      <c r="I78" s="62"/>
      <c r="K78" s="47"/>
      <c r="L78" s="47"/>
      <c r="M78" s="47"/>
      <c r="N78" s="47"/>
      <c r="O78" s="47"/>
      <c r="P78" s="47"/>
      <c r="Q78" s="47"/>
      <c r="R78" s="47"/>
      <c r="S78" s="47"/>
      <c r="T78" s="47"/>
    </row>
    <row r="79">
      <c r="E79" s="60"/>
      <c r="F79" s="61"/>
      <c r="G79" s="61"/>
      <c r="H79" s="61"/>
      <c r="I79" s="62"/>
      <c r="K79" s="47"/>
      <c r="L79" s="47"/>
      <c r="M79" s="47"/>
      <c r="N79" s="47"/>
      <c r="O79" s="47"/>
      <c r="P79" s="47"/>
      <c r="Q79" s="47"/>
      <c r="R79" s="47"/>
      <c r="S79" s="47"/>
      <c r="T79" s="47"/>
    </row>
    <row r="80">
      <c r="E80" s="60"/>
      <c r="F80" s="61"/>
      <c r="G80" s="61"/>
      <c r="H80" s="61"/>
      <c r="I80" s="62"/>
      <c r="K80" s="47"/>
      <c r="L80" s="47"/>
      <c r="M80" s="47"/>
      <c r="N80" s="47"/>
      <c r="O80" s="47"/>
      <c r="P80" s="47"/>
      <c r="Q80" s="47"/>
      <c r="R80" s="47"/>
      <c r="S80" s="47"/>
      <c r="T80" s="47"/>
    </row>
    <row r="81">
      <c r="E81" s="60"/>
      <c r="F81" s="61"/>
      <c r="G81" s="61"/>
      <c r="H81" s="61"/>
      <c r="I81" s="62"/>
      <c r="K81" s="47"/>
      <c r="L81" s="47"/>
      <c r="M81" s="47"/>
      <c r="N81" s="47"/>
      <c r="O81" s="47"/>
      <c r="P81" s="47"/>
      <c r="Q81" s="47"/>
      <c r="R81" s="47"/>
      <c r="S81" s="47"/>
      <c r="T81" s="47"/>
    </row>
    <row r="82">
      <c r="E82" s="60"/>
      <c r="F82" s="61"/>
      <c r="G82" s="61"/>
      <c r="H82" s="61"/>
      <c r="I82" s="62"/>
      <c r="K82" s="47"/>
      <c r="L82" s="47"/>
      <c r="M82" s="47"/>
      <c r="N82" s="47"/>
      <c r="O82" s="47"/>
      <c r="P82" s="47"/>
      <c r="Q82" s="47"/>
      <c r="R82" s="47"/>
      <c r="S82" s="47"/>
      <c r="T82" s="47"/>
    </row>
    <row r="83">
      <c r="A83" s="53"/>
      <c r="B83" s="53"/>
      <c r="C83" s="53"/>
      <c r="D83" s="53"/>
      <c r="E83" s="63"/>
      <c r="F83" s="64"/>
      <c r="G83" s="64"/>
      <c r="H83" s="64"/>
      <c r="I83" s="65"/>
      <c r="J83" s="53"/>
      <c r="K83" s="47"/>
      <c r="L83" s="47"/>
      <c r="M83" s="47"/>
      <c r="N83" s="47"/>
      <c r="O83" s="47"/>
      <c r="P83" s="47"/>
      <c r="Q83" s="47"/>
      <c r="R83" s="47"/>
      <c r="S83" s="47"/>
      <c r="T83" s="47"/>
    </row>
  </sheetData>
  <mergeCells count="42">
    <mergeCell ref="D1:K1"/>
    <mergeCell ref="L1:S1"/>
    <mergeCell ref="A4:A13"/>
    <mergeCell ref="B4:B13"/>
    <mergeCell ref="C4:C13"/>
    <mergeCell ref="D4:D13"/>
    <mergeCell ref="J4:J13"/>
    <mergeCell ref="J24:J33"/>
    <mergeCell ref="J34:J43"/>
    <mergeCell ref="J44:J53"/>
    <mergeCell ref="J54:J63"/>
    <mergeCell ref="J64:J73"/>
    <mergeCell ref="J74:J83"/>
    <mergeCell ref="A14:A23"/>
    <mergeCell ref="B14:B23"/>
    <mergeCell ref="C14:C23"/>
    <mergeCell ref="D14:D23"/>
    <mergeCell ref="J14:J23"/>
    <mergeCell ref="A24:A33"/>
    <mergeCell ref="B24:B33"/>
    <mergeCell ref="B44:B53"/>
    <mergeCell ref="C44:C53"/>
    <mergeCell ref="C24:C33"/>
    <mergeCell ref="D24:D33"/>
    <mergeCell ref="A34:A43"/>
    <mergeCell ref="B34:B43"/>
    <mergeCell ref="C34:C43"/>
    <mergeCell ref="D34:D43"/>
    <mergeCell ref="D44:D53"/>
    <mergeCell ref="C64:C73"/>
    <mergeCell ref="D64:D73"/>
    <mergeCell ref="A74:A83"/>
    <mergeCell ref="B74:B83"/>
    <mergeCell ref="C74:C83"/>
    <mergeCell ref="D74:D83"/>
    <mergeCell ref="A44:A53"/>
    <mergeCell ref="A54:A63"/>
    <mergeCell ref="B54:B63"/>
    <mergeCell ref="C54:C63"/>
    <mergeCell ref="D54:D63"/>
    <mergeCell ref="A64:A73"/>
    <mergeCell ref="B64:B73"/>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7.38"/>
    <col customWidth="1" min="2" max="2" width="23.0"/>
    <col customWidth="1" min="3" max="3" width="44.75"/>
    <col customWidth="1" min="4" max="4" width="30.38"/>
    <col customWidth="1" min="5" max="5" width="14.5"/>
    <col customWidth="1" min="6" max="6" width="18.5"/>
    <col customWidth="1" min="7" max="7" width="21.5"/>
    <col customWidth="1" min="8" max="8" width="33.88"/>
    <col customWidth="1" min="9" max="9" width="2.38"/>
    <col customWidth="1" hidden="1" min="10" max="20" width="17.25"/>
    <col customWidth="1" hidden="1" min="21" max="21" width="21.88"/>
  </cols>
  <sheetData>
    <row r="1" ht="55.5" customHeight="1">
      <c r="A1" s="1"/>
      <c r="B1" s="2"/>
      <c r="C1" s="2"/>
      <c r="D1" s="3"/>
      <c r="E1" s="67"/>
      <c r="F1" s="67"/>
      <c r="G1" s="67"/>
      <c r="H1" s="67"/>
      <c r="I1" s="67"/>
      <c r="J1" s="67"/>
      <c r="K1" s="67"/>
      <c r="L1" s="68"/>
      <c r="M1" s="12"/>
      <c r="T1" s="4"/>
      <c r="U1" s="13"/>
    </row>
    <row r="2">
      <c r="A2" s="14" t="s">
        <v>0</v>
      </c>
      <c r="B2" s="14" t="s">
        <v>86</v>
      </c>
      <c r="C2" s="14" t="s">
        <v>87</v>
      </c>
      <c r="D2" s="14" t="s">
        <v>88</v>
      </c>
      <c r="E2" s="14" t="s">
        <v>89</v>
      </c>
      <c r="F2" s="5" t="s">
        <v>90</v>
      </c>
      <c r="G2" s="5" t="s">
        <v>91</v>
      </c>
      <c r="H2" s="5" t="s">
        <v>30</v>
      </c>
      <c r="I2" s="6"/>
      <c r="J2" s="15"/>
      <c r="K2" s="15"/>
      <c r="L2" s="15"/>
      <c r="M2" s="15"/>
      <c r="N2" s="15"/>
      <c r="O2" s="15"/>
      <c r="P2" s="15"/>
      <c r="Q2" s="15"/>
      <c r="R2" s="15"/>
      <c r="S2" s="15"/>
      <c r="T2" s="15"/>
      <c r="U2" s="15"/>
    </row>
    <row r="3">
      <c r="A3" s="21" t="s">
        <v>15</v>
      </c>
      <c r="B3" s="21" t="s">
        <v>48</v>
      </c>
      <c r="C3" s="23" t="str">
        <f>HYPERLINK("#gid=1829056249&amp;rangeA14", "When a Pub Is the Right Choice for Casual Dining")</f>
        <v>When a Pub Is the Right Choice for Casual Dining</v>
      </c>
      <c r="D3" s="43" t="s">
        <v>72</v>
      </c>
      <c r="E3" s="69">
        <v>210.0</v>
      </c>
      <c r="F3" s="17" t="s">
        <v>92</v>
      </c>
      <c r="G3" s="70" t="s">
        <v>93</v>
      </c>
      <c r="H3" s="18"/>
      <c r="I3" s="71"/>
      <c r="J3" s="18"/>
      <c r="K3" s="18"/>
      <c r="L3" s="18"/>
      <c r="M3" s="18"/>
      <c r="N3" s="18"/>
      <c r="O3" s="18"/>
      <c r="P3" s="18"/>
      <c r="Q3" s="18"/>
      <c r="R3" s="18"/>
      <c r="S3" s="18"/>
      <c r="T3" s="18"/>
      <c r="U3" s="18"/>
    </row>
    <row r="4">
      <c r="A4" s="21" t="s">
        <v>20</v>
      </c>
      <c r="B4" s="21" t="s">
        <v>53</v>
      </c>
      <c r="C4" s="23" t="str">
        <f>HYPERLINK("#gid=1829056249&amp;rangeA4", "How People Find Local Pubs in Kitchener")</f>
        <v>How People Find Local Pubs in Kitchener</v>
      </c>
      <c r="D4" s="50" t="s">
        <v>81</v>
      </c>
      <c r="E4" s="69" t="s">
        <v>76</v>
      </c>
      <c r="F4" s="17" t="s">
        <v>94</v>
      </c>
      <c r="G4" s="17"/>
      <c r="H4" s="18"/>
      <c r="I4" s="71"/>
      <c r="J4" s="18"/>
      <c r="K4" s="18"/>
      <c r="L4" s="18"/>
      <c r="M4" s="18"/>
      <c r="N4" s="18"/>
      <c r="O4" s="18"/>
      <c r="P4" s="18"/>
      <c r="Q4" s="18"/>
      <c r="R4" s="18"/>
      <c r="S4" s="18"/>
      <c r="T4" s="18"/>
      <c r="U4" s="18"/>
    </row>
    <row r="5">
      <c r="A5" s="72"/>
      <c r="B5" s="73"/>
      <c r="C5" s="17"/>
      <c r="D5" s="69"/>
      <c r="E5" s="69"/>
      <c r="F5" s="17"/>
      <c r="G5" s="17"/>
      <c r="H5" s="18"/>
      <c r="I5" s="71"/>
      <c r="J5" s="18"/>
      <c r="K5" s="18"/>
      <c r="L5" s="18"/>
      <c r="M5" s="18"/>
      <c r="N5" s="18"/>
      <c r="O5" s="18"/>
      <c r="P5" s="18"/>
      <c r="Q5" s="18"/>
      <c r="R5" s="18"/>
      <c r="S5" s="18"/>
      <c r="T5" s="18"/>
      <c r="U5" s="18"/>
    </row>
    <row r="6">
      <c r="A6" s="72"/>
      <c r="B6" s="73"/>
      <c r="C6" s="17"/>
      <c r="D6" s="69"/>
      <c r="E6" s="69"/>
      <c r="F6" s="17"/>
      <c r="G6" s="17"/>
      <c r="H6" s="18"/>
      <c r="I6" s="71"/>
      <c r="J6" s="18"/>
      <c r="K6" s="18"/>
      <c r="L6" s="18"/>
      <c r="M6" s="18"/>
      <c r="N6" s="18"/>
      <c r="O6" s="18"/>
      <c r="P6" s="18"/>
      <c r="Q6" s="18"/>
      <c r="R6" s="18"/>
      <c r="S6" s="18"/>
      <c r="T6" s="18"/>
      <c r="U6" s="18"/>
    </row>
    <row r="7">
      <c r="A7" s="72"/>
      <c r="B7" s="73"/>
      <c r="C7" s="17"/>
      <c r="D7" s="69"/>
      <c r="E7" s="69"/>
      <c r="F7" s="17"/>
      <c r="G7" s="17"/>
      <c r="H7" s="18"/>
      <c r="I7" s="71"/>
      <c r="J7" s="18"/>
      <c r="K7" s="18"/>
      <c r="L7" s="18"/>
      <c r="M7" s="18"/>
      <c r="N7" s="18"/>
      <c r="O7" s="18"/>
      <c r="P7" s="18"/>
      <c r="Q7" s="18"/>
      <c r="R7" s="18"/>
      <c r="S7" s="18"/>
      <c r="T7" s="18"/>
      <c r="U7" s="18"/>
    </row>
    <row r="8">
      <c r="A8" s="72"/>
      <c r="B8" s="74"/>
      <c r="C8" s="17"/>
      <c r="D8" s="69"/>
      <c r="E8" s="69"/>
      <c r="F8" s="17"/>
      <c r="G8" s="17"/>
      <c r="H8" s="18"/>
      <c r="I8" s="71"/>
      <c r="J8" s="18"/>
      <c r="K8" s="18"/>
      <c r="L8" s="18"/>
      <c r="M8" s="18"/>
      <c r="N8" s="18"/>
      <c r="O8" s="18"/>
      <c r="P8" s="18"/>
      <c r="Q8" s="18"/>
      <c r="R8" s="18"/>
      <c r="S8" s="18"/>
      <c r="T8" s="18"/>
      <c r="U8" s="18"/>
    </row>
    <row r="9">
      <c r="A9" s="73"/>
      <c r="B9" s="73"/>
      <c r="C9" s="17"/>
      <c r="D9" s="69"/>
      <c r="E9" s="69"/>
      <c r="F9" s="17"/>
      <c r="G9" s="17"/>
      <c r="H9" s="18"/>
      <c r="I9" s="71"/>
      <c r="J9" s="18"/>
      <c r="K9" s="18"/>
      <c r="L9" s="18"/>
      <c r="M9" s="18"/>
      <c r="N9" s="18"/>
      <c r="O9" s="18"/>
      <c r="P9" s="18"/>
      <c r="Q9" s="18"/>
      <c r="R9" s="18"/>
      <c r="S9" s="18"/>
      <c r="T9" s="18"/>
      <c r="U9" s="18"/>
    </row>
    <row r="10">
      <c r="A10" s="72"/>
      <c r="B10" s="73"/>
      <c r="C10" s="17"/>
      <c r="D10" s="69"/>
      <c r="E10" s="69"/>
      <c r="F10" s="17"/>
      <c r="G10" s="17"/>
      <c r="H10" s="18"/>
      <c r="I10" s="71"/>
      <c r="J10" s="18"/>
      <c r="K10" s="18"/>
      <c r="L10" s="18"/>
      <c r="M10" s="18"/>
      <c r="N10" s="18"/>
      <c r="O10" s="18"/>
      <c r="P10" s="18"/>
      <c r="Q10" s="18"/>
      <c r="R10" s="18"/>
      <c r="S10" s="18"/>
      <c r="T10" s="18"/>
      <c r="U10" s="18"/>
    </row>
    <row r="11">
      <c r="A11" s="75"/>
      <c r="B11" s="73"/>
      <c r="C11" s="22"/>
      <c r="D11" s="69"/>
      <c r="E11" s="69"/>
      <c r="F11" s="17"/>
      <c r="G11" s="22"/>
      <c r="H11" s="18"/>
      <c r="I11" s="71"/>
      <c r="J11" s="18"/>
      <c r="K11" s="18"/>
      <c r="L11" s="18"/>
      <c r="M11" s="18"/>
      <c r="N11" s="18"/>
      <c r="O11" s="18"/>
      <c r="P11" s="18"/>
      <c r="Q11" s="18"/>
      <c r="R11" s="18"/>
      <c r="S11" s="18"/>
      <c r="T11" s="18"/>
      <c r="U11" s="18"/>
    </row>
    <row r="12">
      <c r="A12" s="75"/>
      <c r="B12" s="75"/>
      <c r="C12" s="22"/>
      <c r="D12" s="69"/>
      <c r="E12" s="69"/>
      <c r="F12" s="17"/>
      <c r="G12" s="22"/>
      <c r="H12" s="18"/>
      <c r="I12" s="71"/>
      <c r="J12" s="18"/>
      <c r="K12" s="18"/>
      <c r="L12" s="18"/>
      <c r="M12" s="18"/>
      <c r="N12" s="18"/>
      <c r="O12" s="18"/>
      <c r="P12" s="18"/>
      <c r="Q12" s="18"/>
      <c r="R12" s="18"/>
      <c r="S12" s="18"/>
      <c r="T12" s="18"/>
      <c r="U12" s="18"/>
    </row>
    <row r="13">
      <c r="A13" s="73"/>
      <c r="B13" s="75"/>
      <c r="C13" s="22"/>
      <c r="D13" s="69"/>
      <c r="E13" s="69"/>
      <c r="F13" s="17"/>
      <c r="G13" s="22"/>
      <c r="H13" s="18"/>
      <c r="I13" s="71"/>
      <c r="J13" s="18"/>
      <c r="K13" s="18"/>
      <c r="L13" s="18"/>
      <c r="M13" s="18"/>
      <c r="N13" s="18"/>
      <c r="O13" s="18"/>
      <c r="P13" s="18"/>
      <c r="Q13" s="18"/>
      <c r="R13" s="18"/>
      <c r="S13" s="18"/>
      <c r="T13" s="18"/>
      <c r="U13" s="18"/>
    </row>
    <row r="14">
      <c r="A14" s="75"/>
      <c r="B14" s="75"/>
      <c r="C14" s="22"/>
      <c r="D14" s="69"/>
      <c r="E14" s="69"/>
      <c r="F14" s="17"/>
      <c r="G14" s="22"/>
      <c r="H14" s="18"/>
      <c r="I14" s="71"/>
      <c r="J14" s="18"/>
      <c r="K14" s="18"/>
      <c r="L14" s="18"/>
      <c r="M14" s="18"/>
      <c r="N14" s="18"/>
      <c r="O14" s="18"/>
      <c r="P14" s="18"/>
      <c r="Q14" s="18"/>
      <c r="R14" s="18"/>
      <c r="S14" s="18"/>
      <c r="T14" s="18"/>
      <c r="U14" s="18"/>
    </row>
    <row r="15">
      <c r="A15" s="75"/>
      <c r="B15" s="75"/>
      <c r="C15" s="22"/>
      <c r="D15" s="69"/>
      <c r="E15" s="69"/>
      <c r="F15" s="17"/>
      <c r="G15" s="22"/>
      <c r="H15" s="18"/>
      <c r="I15" s="71"/>
      <c r="J15" s="18"/>
      <c r="K15" s="18"/>
      <c r="L15" s="18"/>
      <c r="M15" s="18"/>
      <c r="N15" s="18"/>
      <c r="O15" s="18"/>
      <c r="P15" s="18"/>
      <c r="Q15" s="18"/>
      <c r="R15" s="18"/>
      <c r="S15" s="18"/>
      <c r="T15" s="18"/>
      <c r="U15" s="18"/>
    </row>
    <row r="16">
      <c r="A16" s="75"/>
      <c r="B16" s="75"/>
      <c r="C16" s="22"/>
      <c r="D16" s="69"/>
      <c r="E16" s="69"/>
      <c r="F16" s="17"/>
      <c r="G16" s="22"/>
      <c r="H16" s="18"/>
      <c r="I16" s="71"/>
      <c r="J16" s="18"/>
      <c r="K16" s="18"/>
      <c r="L16" s="18"/>
      <c r="M16" s="18"/>
      <c r="N16" s="18"/>
      <c r="O16" s="18"/>
      <c r="P16" s="18"/>
      <c r="Q16" s="18"/>
      <c r="R16" s="18"/>
      <c r="S16" s="18"/>
      <c r="T16" s="18"/>
      <c r="U16" s="18"/>
    </row>
    <row r="17">
      <c r="A17" s="75"/>
      <c r="B17" s="75"/>
      <c r="C17" s="22"/>
      <c r="D17" s="69"/>
      <c r="E17" s="69"/>
      <c r="F17" s="17"/>
      <c r="G17" s="22"/>
      <c r="H17" s="18"/>
      <c r="I17" s="71"/>
      <c r="J17" s="18"/>
      <c r="K17" s="18"/>
      <c r="L17" s="18"/>
      <c r="M17" s="18"/>
      <c r="N17" s="18"/>
      <c r="O17" s="18"/>
      <c r="P17" s="18"/>
      <c r="Q17" s="18"/>
      <c r="R17" s="18"/>
      <c r="S17" s="18"/>
      <c r="T17" s="18"/>
      <c r="U17" s="18"/>
    </row>
    <row r="18">
      <c r="A18" s="75"/>
      <c r="B18" s="75"/>
      <c r="C18" s="22"/>
      <c r="D18" s="69"/>
      <c r="E18" s="69"/>
      <c r="F18" s="17"/>
      <c r="G18" s="22"/>
      <c r="H18" s="18"/>
      <c r="I18" s="71"/>
      <c r="J18" s="18"/>
      <c r="K18" s="18"/>
      <c r="L18" s="18"/>
      <c r="M18" s="18"/>
      <c r="N18" s="18"/>
      <c r="O18" s="18"/>
      <c r="P18" s="18"/>
      <c r="Q18" s="18"/>
      <c r="R18" s="18"/>
      <c r="S18" s="18"/>
      <c r="T18" s="18"/>
      <c r="U18" s="18"/>
    </row>
    <row r="19">
      <c r="A19" s="75"/>
      <c r="B19" s="75"/>
      <c r="C19" s="22"/>
      <c r="D19" s="69"/>
      <c r="E19" s="69"/>
      <c r="F19" s="17"/>
      <c r="G19" s="22"/>
      <c r="H19" s="18"/>
      <c r="I19" s="71"/>
      <c r="J19" s="18"/>
      <c r="K19" s="18"/>
      <c r="L19" s="18"/>
      <c r="M19" s="18"/>
      <c r="N19" s="18"/>
      <c r="O19" s="18"/>
      <c r="P19" s="18"/>
      <c r="Q19" s="18"/>
      <c r="R19" s="18"/>
      <c r="S19" s="18"/>
      <c r="T19" s="18"/>
      <c r="U19" s="18"/>
    </row>
    <row r="20">
      <c r="A20" s="75"/>
      <c r="B20" s="75"/>
      <c r="C20" s="22"/>
      <c r="D20" s="69"/>
      <c r="E20" s="69"/>
      <c r="F20" s="17"/>
      <c r="G20" s="22"/>
      <c r="H20" s="18"/>
      <c r="I20" s="71"/>
      <c r="J20" s="18"/>
      <c r="K20" s="18"/>
      <c r="L20" s="18"/>
      <c r="M20" s="18"/>
      <c r="N20" s="18"/>
      <c r="O20" s="18"/>
      <c r="P20" s="18"/>
      <c r="Q20" s="18"/>
      <c r="R20" s="18"/>
      <c r="S20" s="18"/>
      <c r="T20" s="18"/>
      <c r="U20" s="18"/>
    </row>
    <row r="21">
      <c r="A21" s="75"/>
      <c r="B21" s="75"/>
      <c r="C21" s="22"/>
      <c r="D21" s="69"/>
      <c r="E21" s="69"/>
      <c r="F21" s="17"/>
      <c r="G21" s="22"/>
      <c r="H21" s="18"/>
      <c r="I21" s="71"/>
      <c r="J21" s="18"/>
      <c r="K21" s="18"/>
      <c r="L21" s="18"/>
      <c r="M21" s="18"/>
      <c r="N21" s="18"/>
      <c r="O21" s="18"/>
      <c r="P21" s="18"/>
      <c r="Q21" s="18"/>
      <c r="R21" s="18"/>
      <c r="S21" s="18"/>
      <c r="T21" s="18"/>
      <c r="U21" s="18"/>
    </row>
    <row r="22">
      <c r="A22" s="75"/>
      <c r="B22" s="75"/>
      <c r="C22" s="22"/>
      <c r="D22" s="69"/>
      <c r="E22" s="69"/>
      <c r="F22" s="17"/>
      <c r="G22" s="22"/>
      <c r="H22" s="18"/>
      <c r="I22" s="71"/>
      <c r="J22" s="18"/>
      <c r="K22" s="18"/>
      <c r="L22" s="18"/>
      <c r="M22" s="18"/>
      <c r="N22" s="18"/>
      <c r="O22" s="18"/>
      <c r="P22" s="18"/>
      <c r="Q22" s="18"/>
      <c r="R22" s="18"/>
      <c r="S22" s="18"/>
      <c r="T22" s="18"/>
      <c r="U22" s="18"/>
    </row>
    <row r="23">
      <c r="A23" s="75"/>
      <c r="B23" s="75"/>
      <c r="C23" s="22"/>
      <c r="D23" s="69"/>
      <c r="E23" s="69"/>
      <c r="F23" s="17"/>
      <c r="G23" s="22"/>
      <c r="H23" s="18"/>
      <c r="I23" s="71"/>
      <c r="J23" s="18"/>
      <c r="K23" s="18"/>
      <c r="L23" s="18"/>
      <c r="M23" s="18"/>
      <c r="N23" s="18"/>
      <c r="O23" s="18"/>
      <c r="P23" s="18"/>
      <c r="Q23" s="18"/>
      <c r="R23" s="18"/>
      <c r="S23" s="18"/>
      <c r="T23" s="18"/>
      <c r="U23" s="18"/>
    </row>
    <row r="24">
      <c r="A24" s="75"/>
      <c r="B24" s="75"/>
      <c r="C24" s="22"/>
      <c r="D24" s="69"/>
      <c r="E24" s="69"/>
      <c r="F24" s="17"/>
      <c r="G24" s="22"/>
      <c r="H24" s="18"/>
      <c r="I24" s="71"/>
      <c r="J24" s="18"/>
      <c r="K24" s="18"/>
      <c r="L24" s="18"/>
      <c r="M24" s="18"/>
      <c r="N24" s="18"/>
      <c r="O24" s="18"/>
      <c r="P24" s="18"/>
      <c r="Q24" s="18"/>
      <c r="R24" s="18"/>
      <c r="S24" s="18"/>
      <c r="T24" s="18"/>
      <c r="U24" s="18"/>
    </row>
    <row r="25">
      <c r="A25" s="75"/>
      <c r="B25" s="75"/>
      <c r="C25" s="22"/>
      <c r="D25" s="69"/>
      <c r="E25" s="69"/>
      <c r="F25" s="17"/>
      <c r="G25" s="22"/>
      <c r="H25" s="18"/>
      <c r="I25" s="71"/>
      <c r="J25" s="18"/>
      <c r="K25" s="18"/>
      <c r="L25" s="18"/>
      <c r="M25" s="18"/>
      <c r="N25" s="18"/>
      <c r="O25" s="18"/>
      <c r="P25" s="18"/>
      <c r="Q25" s="18"/>
      <c r="R25" s="18"/>
      <c r="S25" s="18"/>
      <c r="T25" s="18"/>
      <c r="U25" s="18"/>
    </row>
    <row r="26">
      <c r="A26" s="75"/>
      <c r="B26" s="75"/>
      <c r="C26" s="22"/>
      <c r="D26" s="69"/>
      <c r="E26" s="69"/>
      <c r="F26" s="17"/>
      <c r="G26" s="22"/>
      <c r="H26" s="18"/>
      <c r="I26" s="71"/>
      <c r="J26" s="18"/>
      <c r="K26" s="18"/>
      <c r="L26" s="18"/>
      <c r="M26" s="18"/>
      <c r="N26" s="18"/>
      <c r="O26" s="18"/>
      <c r="P26" s="18"/>
      <c r="Q26" s="18"/>
      <c r="R26" s="18"/>
      <c r="S26" s="18"/>
      <c r="T26" s="18"/>
      <c r="U26" s="18"/>
    </row>
    <row r="27">
      <c r="A27" s="75"/>
      <c r="B27" s="75"/>
      <c r="C27" s="22"/>
      <c r="D27" s="69"/>
      <c r="E27" s="69"/>
      <c r="F27" s="17"/>
      <c r="G27" s="22"/>
      <c r="H27" s="18"/>
      <c r="I27" s="71"/>
      <c r="J27" s="18"/>
      <c r="K27" s="18"/>
      <c r="L27" s="18"/>
      <c r="M27" s="18"/>
      <c r="N27" s="18"/>
      <c r="O27" s="18"/>
      <c r="P27" s="18"/>
      <c r="Q27" s="18"/>
      <c r="R27" s="18"/>
      <c r="S27" s="18"/>
      <c r="T27" s="18"/>
      <c r="U27" s="18"/>
    </row>
    <row r="28">
      <c r="A28" s="75"/>
      <c r="B28" s="75"/>
      <c r="C28" s="22"/>
      <c r="D28" s="69"/>
      <c r="E28" s="69"/>
      <c r="F28" s="17"/>
      <c r="G28" s="22"/>
      <c r="H28" s="18"/>
      <c r="I28" s="71"/>
      <c r="J28" s="18"/>
      <c r="K28" s="18"/>
      <c r="L28" s="18"/>
      <c r="M28" s="18"/>
      <c r="N28" s="18"/>
      <c r="O28" s="18"/>
      <c r="P28" s="18"/>
      <c r="Q28" s="18"/>
      <c r="R28" s="18"/>
      <c r="S28" s="18"/>
      <c r="T28" s="18"/>
      <c r="U28" s="18"/>
    </row>
    <row r="29">
      <c r="A29" s="75"/>
      <c r="B29" s="75"/>
      <c r="C29" s="22"/>
      <c r="D29" s="69"/>
      <c r="E29" s="69"/>
      <c r="F29" s="17"/>
      <c r="G29" s="22"/>
      <c r="H29" s="18"/>
      <c r="I29" s="71"/>
      <c r="J29" s="18"/>
      <c r="K29" s="18"/>
      <c r="L29" s="18"/>
      <c r="M29" s="18"/>
      <c r="N29" s="18"/>
      <c r="O29" s="18"/>
      <c r="P29" s="18"/>
      <c r="Q29" s="18"/>
      <c r="R29" s="18"/>
      <c r="S29" s="18"/>
      <c r="T29" s="18"/>
      <c r="U29" s="18"/>
    </row>
    <row r="30">
      <c r="A30" s="75"/>
      <c r="B30" s="75"/>
      <c r="C30" s="22"/>
      <c r="D30" s="69"/>
      <c r="E30" s="69"/>
      <c r="F30" s="17"/>
      <c r="G30" s="22"/>
      <c r="H30" s="18"/>
      <c r="I30" s="71"/>
      <c r="J30" s="18"/>
      <c r="K30" s="18"/>
      <c r="L30" s="18"/>
      <c r="M30" s="18"/>
      <c r="N30" s="18"/>
      <c r="O30" s="18"/>
      <c r="P30" s="18"/>
      <c r="Q30" s="18"/>
      <c r="R30" s="18"/>
      <c r="S30" s="18"/>
      <c r="T30" s="18"/>
      <c r="U30" s="18"/>
    </row>
    <row r="31">
      <c r="A31" s="75"/>
      <c r="B31" s="75"/>
      <c r="C31" s="22"/>
      <c r="D31" s="69"/>
      <c r="E31" s="69"/>
      <c r="F31" s="17"/>
      <c r="G31" s="22"/>
      <c r="H31" s="18"/>
      <c r="I31" s="71"/>
      <c r="J31" s="18"/>
      <c r="K31" s="18"/>
      <c r="L31" s="18"/>
      <c r="M31" s="18"/>
      <c r="N31" s="18"/>
      <c r="O31" s="18"/>
      <c r="P31" s="18"/>
      <c r="Q31" s="18"/>
      <c r="R31" s="18"/>
      <c r="S31" s="18"/>
      <c r="T31" s="18"/>
      <c r="U31" s="18"/>
    </row>
    <row r="32">
      <c r="A32" s="75"/>
      <c r="B32" s="75"/>
      <c r="C32" s="22"/>
      <c r="D32" s="69"/>
      <c r="E32" s="69"/>
      <c r="F32" s="17"/>
      <c r="G32" s="22"/>
      <c r="H32" s="18"/>
      <c r="I32" s="71"/>
      <c r="J32" s="18"/>
      <c r="K32" s="18"/>
      <c r="L32" s="18"/>
      <c r="M32" s="18"/>
      <c r="N32" s="18"/>
      <c r="O32" s="18"/>
      <c r="P32" s="18"/>
      <c r="Q32" s="18"/>
      <c r="R32" s="18"/>
      <c r="S32" s="18"/>
      <c r="T32" s="18"/>
      <c r="U32" s="18"/>
    </row>
    <row r="33">
      <c r="A33" s="75"/>
      <c r="B33" s="75"/>
      <c r="C33" s="22"/>
      <c r="D33" s="69"/>
      <c r="E33" s="69"/>
      <c r="F33" s="17"/>
      <c r="G33" s="22"/>
      <c r="H33" s="18"/>
      <c r="I33" s="71"/>
      <c r="J33" s="18"/>
      <c r="K33" s="18"/>
      <c r="L33" s="18"/>
      <c r="M33" s="18"/>
      <c r="N33" s="18"/>
      <c r="O33" s="18"/>
      <c r="P33" s="18"/>
      <c r="Q33" s="18"/>
      <c r="R33" s="18"/>
      <c r="S33" s="18"/>
      <c r="T33" s="18"/>
      <c r="U33" s="18"/>
    </row>
    <row r="34">
      <c r="A34" s="75"/>
      <c r="B34" s="75"/>
      <c r="C34" s="22"/>
      <c r="D34" s="69"/>
      <c r="E34" s="69"/>
      <c r="F34" s="17"/>
      <c r="G34" s="22"/>
      <c r="H34" s="18"/>
      <c r="I34" s="71"/>
      <c r="J34" s="18"/>
      <c r="K34" s="18"/>
      <c r="L34" s="18"/>
      <c r="M34" s="18"/>
      <c r="N34" s="18"/>
      <c r="O34" s="18"/>
      <c r="P34" s="18"/>
      <c r="Q34" s="18"/>
      <c r="R34" s="18"/>
      <c r="S34" s="18"/>
      <c r="T34" s="18"/>
      <c r="U34" s="18"/>
    </row>
    <row r="35">
      <c r="A35" s="75"/>
      <c r="B35" s="75"/>
      <c r="C35" s="22"/>
      <c r="D35" s="69"/>
      <c r="E35" s="69"/>
      <c r="F35" s="17"/>
      <c r="G35" s="22"/>
      <c r="H35" s="18"/>
      <c r="I35" s="71"/>
      <c r="J35" s="18"/>
      <c r="K35" s="18"/>
      <c r="L35" s="18"/>
      <c r="M35" s="18"/>
      <c r="N35" s="18"/>
      <c r="O35" s="18"/>
      <c r="P35" s="18"/>
      <c r="Q35" s="18"/>
      <c r="R35" s="18"/>
      <c r="S35" s="18"/>
      <c r="T35" s="18"/>
      <c r="U35" s="18"/>
    </row>
    <row r="36">
      <c r="A36" s="75"/>
      <c r="B36" s="75"/>
      <c r="C36" s="22"/>
      <c r="D36" s="69"/>
      <c r="E36" s="69"/>
      <c r="F36" s="17"/>
      <c r="G36" s="22"/>
      <c r="H36" s="18"/>
      <c r="I36" s="71"/>
      <c r="J36" s="18"/>
      <c r="K36" s="18"/>
      <c r="L36" s="18"/>
      <c r="M36" s="18"/>
      <c r="N36" s="18"/>
      <c r="O36" s="18"/>
      <c r="P36" s="18"/>
      <c r="Q36" s="18"/>
      <c r="R36" s="18"/>
      <c r="S36" s="18"/>
      <c r="T36" s="18"/>
      <c r="U36" s="18"/>
    </row>
    <row r="37">
      <c r="A37" s="75"/>
      <c r="B37" s="75"/>
      <c r="C37" s="22"/>
      <c r="D37" s="69"/>
      <c r="E37" s="69"/>
      <c r="F37" s="17"/>
      <c r="G37" s="22"/>
      <c r="H37" s="18"/>
      <c r="I37" s="71"/>
      <c r="J37" s="18"/>
      <c r="K37" s="18"/>
      <c r="L37" s="18"/>
      <c r="M37" s="18"/>
      <c r="N37" s="18"/>
      <c r="O37" s="18"/>
      <c r="P37" s="18"/>
      <c r="Q37" s="18"/>
      <c r="R37" s="18"/>
      <c r="S37" s="18"/>
      <c r="T37" s="18"/>
      <c r="U37" s="18"/>
    </row>
    <row r="38">
      <c r="A38" s="75"/>
      <c r="B38" s="75"/>
      <c r="C38" s="22"/>
      <c r="D38" s="69"/>
      <c r="E38" s="69"/>
      <c r="F38" s="17"/>
      <c r="G38" s="22"/>
      <c r="H38" s="18"/>
      <c r="I38" s="71"/>
      <c r="J38" s="18"/>
      <c r="K38" s="18"/>
      <c r="L38" s="18"/>
      <c r="M38" s="18"/>
      <c r="N38" s="18"/>
      <c r="O38" s="18"/>
      <c r="P38" s="18"/>
      <c r="Q38" s="18"/>
      <c r="R38" s="18"/>
      <c r="S38" s="18"/>
      <c r="T38" s="18"/>
      <c r="U38" s="18"/>
    </row>
  </sheetData>
  <mergeCells count="1">
    <mergeCell ref="M1:T1"/>
  </mergeCells>
  <dataValidations>
    <dataValidation type="list" allowBlank="1" showErrorMessage="1" sqref="F3:F38">
      <formula1>"In Progress,For Approval,Approved,Published"</formula1>
    </dataValidation>
  </dataValidations>
  <hyperlinks>
    <hyperlink r:id="rId2" location="heading=h.wj4rwp4zwywm" ref="G3"/>
  </hyperlinks>
  <drawing r:id="rId3"/>
  <legacy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2.5"/>
    <col customWidth="1" min="2" max="5" width="15.13"/>
    <col customWidth="1" min="6" max="6" width="56.25"/>
    <col customWidth="1" min="7" max="10" width="14.88"/>
    <col customWidth="1" min="11" max="11" width="3.0"/>
    <col customWidth="1" min="12" max="15" width="21.88"/>
  </cols>
  <sheetData>
    <row r="1" ht="42.0" customHeight="1">
      <c r="A1" s="76"/>
      <c r="B1" s="77"/>
      <c r="C1" s="77"/>
      <c r="D1" s="77"/>
      <c r="E1" s="77"/>
      <c r="F1" s="77"/>
      <c r="G1" s="77"/>
      <c r="H1" s="77"/>
      <c r="I1" s="77"/>
      <c r="J1" s="77"/>
      <c r="K1" s="78"/>
      <c r="L1" s="78"/>
      <c r="M1" s="78"/>
      <c r="N1" s="78"/>
      <c r="O1" s="78"/>
    </row>
    <row r="2" ht="20.25" customHeight="1">
      <c r="A2" s="79" t="s">
        <v>95</v>
      </c>
      <c r="B2" s="80" t="s">
        <v>61</v>
      </c>
      <c r="C2" s="80" t="s">
        <v>62</v>
      </c>
      <c r="D2" s="80" t="s">
        <v>63</v>
      </c>
      <c r="E2" s="80" t="s">
        <v>96</v>
      </c>
      <c r="F2" s="80" t="s">
        <v>64</v>
      </c>
      <c r="G2" s="80" t="s">
        <v>65</v>
      </c>
      <c r="H2" s="80" t="s">
        <v>66</v>
      </c>
      <c r="I2" s="80" t="s">
        <v>67</v>
      </c>
      <c r="J2" s="80" t="s">
        <v>68</v>
      </c>
      <c r="K2" s="81"/>
      <c r="L2" s="82" t="s">
        <v>97</v>
      </c>
      <c r="M2" s="82" t="s">
        <v>98</v>
      </c>
      <c r="N2" s="82" t="s">
        <v>99</v>
      </c>
      <c r="O2" s="81"/>
    </row>
    <row r="3" ht="15.0" customHeight="1">
      <c r="A3" s="83"/>
      <c r="B3" s="84"/>
      <c r="C3" s="85"/>
      <c r="D3" s="85"/>
      <c r="E3" s="84"/>
      <c r="F3" s="85"/>
      <c r="G3" s="86"/>
      <c r="H3" s="87"/>
      <c r="I3" s="85"/>
      <c r="J3" s="88"/>
      <c r="K3" s="89"/>
      <c r="L3" s="85"/>
      <c r="M3" s="85"/>
      <c r="N3" s="85"/>
      <c r="O3" s="90"/>
    </row>
    <row r="4" ht="15.0" customHeight="1">
      <c r="F4" s="85"/>
      <c r="G4" s="85"/>
      <c r="H4" s="91"/>
      <c r="I4" s="85"/>
      <c r="J4" s="88"/>
      <c r="O4" s="90"/>
    </row>
    <row r="5" ht="15.0" customHeight="1">
      <c r="F5" s="85"/>
      <c r="G5" s="86"/>
      <c r="H5" s="87"/>
      <c r="I5" s="85"/>
      <c r="J5" s="88"/>
      <c r="O5" s="90"/>
    </row>
    <row r="6" ht="15.0" customHeight="1">
      <c r="F6" s="85"/>
      <c r="G6" s="85"/>
      <c r="H6" s="85"/>
      <c r="I6" s="85"/>
      <c r="J6" s="88"/>
      <c r="O6" s="90"/>
    </row>
    <row r="7" ht="15.0" customHeight="1">
      <c r="F7" s="85"/>
      <c r="G7" s="86"/>
      <c r="H7" s="86"/>
      <c r="I7" s="85"/>
      <c r="J7" s="88"/>
      <c r="O7" s="90"/>
    </row>
    <row r="8" ht="15.0" customHeight="1">
      <c r="F8" s="85"/>
      <c r="G8" s="85"/>
      <c r="H8" s="85"/>
      <c r="I8" s="85"/>
      <c r="J8" s="88"/>
      <c r="O8" s="90"/>
    </row>
    <row r="9" ht="15.0" customHeight="1">
      <c r="F9" s="85"/>
      <c r="G9" s="85"/>
      <c r="H9" s="85"/>
      <c r="I9" s="85"/>
      <c r="J9" s="88"/>
      <c r="O9" s="90"/>
    </row>
    <row r="10" ht="15.0" customHeight="1">
      <c r="F10" s="85"/>
      <c r="G10" s="85"/>
      <c r="H10" s="85"/>
      <c r="I10" s="85"/>
      <c r="J10" s="88"/>
      <c r="O10" s="90"/>
    </row>
    <row r="11" ht="15.0" customHeight="1">
      <c r="F11" s="85"/>
      <c r="G11" s="86"/>
      <c r="H11" s="86"/>
      <c r="I11" s="85"/>
      <c r="J11" s="88"/>
      <c r="O11" s="90"/>
    </row>
    <row r="12" ht="15.0" customHeight="1">
      <c r="F12" s="85"/>
      <c r="G12" s="86"/>
      <c r="H12" s="86"/>
      <c r="I12" s="85"/>
      <c r="J12" s="88"/>
      <c r="O12" s="90"/>
    </row>
    <row r="13" ht="15.0" customHeight="1">
      <c r="A13" s="89"/>
      <c r="B13" s="91"/>
      <c r="C13" s="85"/>
      <c r="D13" s="85"/>
      <c r="E13" s="85"/>
      <c r="F13" s="85"/>
      <c r="G13" s="86"/>
      <c r="H13" s="87"/>
      <c r="I13" s="85"/>
      <c r="J13" s="88"/>
      <c r="K13" s="92"/>
      <c r="L13" s="85"/>
      <c r="M13" s="85"/>
      <c r="N13" s="85"/>
      <c r="O13" s="90"/>
    </row>
    <row r="14" ht="15.0" customHeight="1">
      <c r="F14" s="85"/>
      <c r="G14" s="85"/>
      <c r="H14" s="91"/>
      <c r="I14" s="85"/>
      <c r="J14" s="88"/>
      <c r="K14" s="92"/>
      <c r="O14" s="90"/>
    </row>
    <row r="15" ht="15.0" customHeight="1">
      <c r="F15" s="85"/>
      <c r="G15" s="86"/>
      <c r="H15" s="87"/>
      <c r="I15" s="85"/>
      <c r="J15" s="88"/>
      <c r="K15" s="92"/>
      <c r="O15" s="90"/>
    </row>
    <row r="16" ht="15.0" customHeight="1">
      <c r="F16" s="85"/>
      <c r="G16" s="85"/>
      <c r="H16" s="85"/>
      <c r="I16" s="85"/>
      <c r="J16" s="88"/>
      <c r="K16" s="92"/>
      <c r="O16" s="90"/>
    </row>
    <row r="17" ht="15.0" customHeight="1">
      <c r="F17" s="85"/>
      <c r="G17" s="86"/>
      <c r="H17" s="86"/>
      <c r="I17" s="85"/>
      <c r="J17" s="88"/>
      <c r="K17" s="92"/>
      <c r="O17" s="90"/>
    </row>
    <row r="18" ht="15.0" customHeight="1">
      <c r="F18" s="85"/>
      <c r="G18" s="85"/>
      <c r="H18" s="85"/>
      <c r="I18" s="85"/>
      <c r="J18" s="88"/>
      <c r="K18" s="92"/>
      <c r="O18" s="90"/>
    </row>
    <row r="19" ht="15.0" customHeight="1">
      <c r="F19" s="85"/>
      <c r="G19" s="85"/>
      <c r="H19" s="85"/>
      <c r="I19" s="85"/>
      <c r="J19" s="88"/>
      <c r="K19" s="92"/>
      <c r="O19" s="90"/>
    </row>
    <row r="20" ht="15.0" customHeight="1">
      <c r="F20" s="85"/>
      <c r="G20" s="85"/>
      <c r="H20" s="85"/>
      <c r="I20" s="85"/>
      <c r="J20" s="88"/>
      <c r="K20" s="92"/>
      <c r="O20" s="90"/>
    </row>
    <row r="21" ht="15.0" customHeight="1">
      <c r="F21" s="85"/>
      <c r="G21" s="86"/>
      <c r="H21" s="86"/>
      <c r="I21" s="85"/>
      <c r="J21" s="88"/>
      <c r="K21" s="92"/>
      <c r="O21" s="90"/>
    </row>
    <row r="22" ht="15.0" customHeight="1">
      <c r="F22" s="85"/>
      <c r="G22" s="86"/>
      <c r="H22" s="86"/>
      <c r="I22" s="85"/>
      <c r="J22" s="88"/>
      <c r="K22" s="92"/>
      <c r="O22" s="90"/>
    </row>
    <row r="23" ht="15.0" customHeight="1">
      <c r="A23" s="89"/>
      <c r="B23" s="91"/>
      <c r="C23" s="85"/>
      <c r="D23" s="85"/>
      <c r="E23" s="85"/>
      <c r="F23" s="85"/>
      <c r="G23" s="86"/>
      <c r="H23" s="87"/>
      <c r="I23" s="85"/>
      <c r="J23" s="88"/>
      <c r="K23" s="92"/>
      <c r="L23" s="85"/>
      <c r="M23" s="85"/>
      <c r="N23" s="85"/>
      <c r="O23" s="90"/>
    </row>
    <row r="24" ht="15.0" customHeight="1">
      <c r="F24" s="85"/>
      <c r="G24" s="85"/>
      <c r="H24" s="91"/>
      <c r="I24" s="85"/>
      <c r="J24" s="88"/>
      <c r="K24" s="92"/>
      <c r="O24" s="90"/>
    </row>
    <row r="25" ht="15.0" customHeight="1">
      <c r="F25" s="85"/>
      <c r="G25" s="86"/>
      <c r="H25" s="87"/>
      <c r="I25" s="85"/>
      <c r="J25" s="88"/>
      <c r="K25" s="92"/>
      <c r="O25" s="90"/>
    </row>
    <row r="26" ht="15.0" customHeight="1">
      <c r="F26" s="85"/>
      <c r="G26" s="85"/>
      <c r="H26" s="85"/>
      <c r="I26" s="85"/>
      <c r="J26" s="88"/>
      <c r="K26" s="92"/>
      <c r="O26" s="90"/>
    </row>
    <row r="27" ht="15.0" customHeight="1">
      <c r="F27" s="85"/>
      <c r="G27" s="86"/>
      <c r="H27" s="86"/>
      <c r="I27" s="85"/>
      <c r="J27" s="88"/>
      <c r="K27" s="92"/>
      <c r="O27" s="90"/>
    </row>
    <row r="28" ht="15.0" customHeight="1">
      <c r="F28" s="85"/>
      <c r="G28" s="85"/>
      <c r="H28" s="85"/>
      <c r="I28" s="85"/>
      <c r="J28" s="88"/>
      <c r="K28" s="92"/>
      <c r="O28" s="90"/>
    </row>
    <row r="29" ht="15.0" customHeight="1">
      <c r="F29" s="85"/>
      <c r="G29" s="85"/>
      <c r="H29" s="85"/>
      <c r="I29" s="85"/>
      <c r="J29" s="88"/>
      <c r="K29" s="92"/>
      <c r="O29" s="90"/>
    </row>
    <row r="30" ht="15.0" customHeight="1">
      <c r="F30" s="85"/>
      <c r="G30" s="85"/>
      <c r="H30" s="85"/>
      <c r="I30" s="85"/>
      <c r="J30" s="88"/>
      <c r="K30" s="92"/>
      <c r="O30" s="90"/>
    </row>
    <row r="31" ht="15.0" customHeight="1">
      <c r="F31" s="85"/>
      <c r="G31" s="86"/>
      <c r="H31" s="86"/>
      <c r="I31" s="85"/>
      <c r="J31" s="88"/>
      <c r="K31" s="92"/>
      <c r="O31" s="90"/>
    </row>
    <row r="32" ht="15.0" customHeight="1">
      <c r="F32" s="85"/>
      <c r="G32" s="86"/>
      <c r="H32" s="86"/>
      <c r="I32" s="85"/>
      <c r="J32" s="88"/>
      <c r="K32" s="92"/>
      <c r="O32" s="90"/>
    </row>
    <row r="33" ht="15.0" customHeight="1">
      <c r="A33" s="89"/>
      <c r="B33" s="91"/>
      <c r="C33" s="85"/>
      <c r="D33" s="85"/>
      <c r="E33" s="85"/>
      <c r="F33" s="85"/>
      <c r="G33" s="86"/>
      <c r="H33" s="87"/>
      <c r="I33" s="85"/>
      <c r="J33" s="88"/>
      <c r="K33" s="92"/>
      <c r="L33" s="85"/>
      <c r="M33" s="85"/>
      <c r="N33" s="85"/>
      <c r="O33" s="90"/>
    </row>
    <row r="34" ht="15.0" customHeight="1">
      <c r="F34" s="85"/>
      <c r="G34" s="85"/>
      <c r="H34" s="91"/>
      <c r="I34" s="85"/>
      <c r="J34" s="88"/>
      <c r="K34" s="92"/>
      <c r="O34" s="90"/>
    </row>
    <row r="35" ht="15.0" customHeight="1">
      <c r="F35" s="85"/>
      <c r="G35" s="86"/>
      <c r="H35" s="87"/>
      <c r="I35" s="85"/>
      <c r="J35" s="88"/>
      <c r="K35" s="92"/>
      <c r="O35" s="90"/>
    </row>
    <row r="36" ht="15.0" customHeight="1">
      <c r="F36" s="85"/>
      <c r="G36" s="85"/>
      <c r="H36" s="85"/>
      <c r="I36" s="85"/>
      <c r="J36" s="88"/>
      <c r="K36" s="92"/>
      <c r="O36" s="90"/>
    </row>
    <row r="37" ht="15.0" customHeight="1">
      <c r="F37" s="85"/>
      <c r="G37" s="86"/>
      <c r="H37" s="86"/>
      <c r="I37" s="85"/>
      <c r="J37" s="88"/>
      <c r="K37" s="92"/>
      <c r="O37" s="90"/>
    </row>
    <row r="38" ht="15.0" customHeight="1">
      <c r="F38" s="85"/>
      <c r="G38" s="85"/>
      <c r="H38" s="85"/>
      <c r="I38" s="85"/>
      <c r="J38" s="88"/>
      <c r="K38" s="92"/>
      <c r="O38" s="90"/>
    </row>
    <row r="39" ht="15.0" customHeight="1">
      <c r="F39" s="85"/>
      <c r="G39" s="85"/>
      <c r="H39" s="85"/>
      <c r="I39" s="85"/>
      <c r="J39" s="88"/>
      <c r="K39" s="92"/>
      <c r="O39" s="90"/>
    </row>
    <row r="40" ht="15.0" customHeight="1">
      <c r="F40" s="85"/>
      <c r="G40" s="85"/>
      <c r="H40" s="85"/>
      <c r="I40" s="85"/>
      <c r="J40" s="88"/>
      <c r="K40" s="92"/>
      <c r="O40" s="90"/>
    </row>
    <row r="41" ht="15.0" customHeight="1">
      <c r="F41" s="85"/>
      <c r="G41" s="86"/>
      <c r="H41" s="86"/>
      <c r="I41" s="85"/>
      <c r="J41" s="88"/>
      <c r="K41" s="92"/>
      <c r="O41" s="90"/>
    </row>
    <row r="42" ht="15.0" customHeight="1">
      <c r="F42" s="85"/>
      <c r="G42" s="86"/>
      <c r="H42" s="86"/>
      <c r="I42" s="85"/>
      <c r="J42" s="88"/>
      <c r="K42" s="92"/>
      <c r="O42" s="90"/>
    </row>
  </sheetData>
  <mergeCells count="33">
    <mergeCell ref="A3:A12"/>
    <mergeCell ref="B3:B12"/>
    <mergeCell ref="C3:C12"/>
    <mergeCell ref="D3:D12"/>
    <mergeCell ref="E3:E12"/>
    <mergeCell ref="K3:K12"/>
    <mergeCell ref="L3:L12"/>
    <mergeCell ref="C23:C32"/>
    <mergeCell ref="D23:D32"/>
    <mergeCell ref="A23:A32"/>
    <mergeCell ref="A33:A42"/>
    <mergeCell ref="B33:B42"/>
    <mergeCell ref="C33:C42"/>
    <mergeCell ref="D33:D42"/>
    <mergeCell ref="E33:E42"/>
    <mergeCell ref="A13:A22"/>
    <mergeCell ref="B13:B22"/>
    <mergeCell ref="C13:C22"/>
    <mergeCell ref="D13:D22"/>
    <mergeCell ref="E13:E22"/>
    <mergeCell ref="B23:B32"/>
    <mergeCell ref="E23:E32"/>
    <mergeCell ref="L23:L32"/>
    <mergeCell ref="L33:L42"/>
    <mergeCell ref="M33:M42"/>
    <mergeCell ref="N33:N42"/>
    <mergeCell ref="M3:M12"/>
    <mergeCell ref="N3:N12"/>
    <mergeCell ref="L13:L22"/>
    <mergeCell ref="M13:M22"/>
    <mergeCell ref="N13:N22"/>
    <mergeCell ref="M23:M32"/>
    <mergeCell ref="N23:N32"/>
  </mergeCells>
  <drawing r:id="rId2"/>
  <legacyDrawing r:id="rId3"/>
</worksheet>
</file>